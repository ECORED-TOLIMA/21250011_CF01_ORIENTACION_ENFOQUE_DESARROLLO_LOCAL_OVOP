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codeName="ThisWorkbook" hidePivotFieldList="1" defaultThemeVersion="166925"/>
  <mc:AlternateContent xmlns:mc="http://schemas.openxmlformats.org/markup-compatibility/2006">
    <mc:Choice Requires="x15">
      <x15ac:absPath xmlns:x15ac="http://schemas.microsoft.com/office/spreadsheetml/2010/11/ac" url="C:\Users\kguzmanm\Downloads\"/>
    </mc:Choice>
  </mc:AlternateContent>
  <xr:revisionPtr revIDLastSave="2" documentId="8_{AC2BAA37-3E4B-46FC-A9D2-9240985E3300}" xr6:coauthVersionLast="47" xr6:coauthVersionMax="47" xr10:uidLastSave="{4B93754B-0A2A-4414-89FB-1B59E6DDA566}"/>
  <bookViews>
    <workbookView xWindow="-120" yWindow="-120" windowWidth="20730" windowHeight="11160" xr2:uid="{00000000-000D-0000-FFFF-FFFF00000000}"/>
  </bookViews>
  <sheets>
    <sheet name="INTRODUCCIÓN" sheetId="13" r:id="rId1"/>
    <sheet name="CADENA DE VALOR" sheetId="1" r:id="rId2"/>
    <sheet name="INFO DE BASE" sheetId="2" r:id="rId3"/>
    <sheet name="INVESTIGACIÓN" sheetId="11" r:id="rId4"/>
    <sheet name="RESUMEN CV" sheetId="6" r:id="rId5"/>
    <sheet name="LISTAS DESPLEGABLES" sheetId="12" state="hidden" r:id="rId6"/>
    <sheet name="COMPOSICIÓN ECONÓMICA" sheetId="9" r:id="rId7"/>
    <sheet name="SECTORES DE LA CADENA" sheetId="7" r:id="rId8"/>
    <sheet name="DISTRIBUCIÓN DE BENEFICIOS" sheetId="10" r:id="rId9"/>
    <sheet name="DINÁMICAS" sheetId="3" state="hidden" r:id="rId10"/>
  </sheets>
  <calcPr calcId="191028"/>
  <pivotCaches>
    <pivotCache cacheId="53" r:id="rId11"/>
    <pivotCache cacheId="59"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6" l="1"/>
  <c r="C4" i="6"/>
  <c r="E19" i="11"/>
  <c r="E20" i="11"/>
  <c r="E12" i="11"/>
  <c r="E13" i="11"/>
  <c r="E14" i="11"/>
  <c r="D1" i="2"/>
  <c r="D1" i="1"/>
  <c r="E21" i="11" l="1"/>
  <c r="E18" i="11"/>
  <c r="E6" i="11"/>
  <c r="E5" i="11"/>
  <c r="E11" i="11"/>
  <c r="E4" i="11"/>
  <c r="E22" i="11" l="1"/>
  <c r="D22" i="11" s="1"/>
  <c r="E15" i="11"/>
  <c r="E7" i="11"/>
  <c r="E8" i="11" s="1"/>
  <c r="K6" i="2"/>
  <c r="K7" i="2"/>
  <c r="K8" i="2"/>
  <c r="K9" i="2"/>
  <c r="K10" i="2"/>
  <c r="K11" i="2"/>
  <c r="K12" i="2"/>
  <c r="K13" i="2"/>
  <c r="K14" i="2"/>
  <c r="K15" i="2"/>
  <c r="K16" i="2"/>
  <c r="K17" i="2"/>
  <c r="K18" i="2"/>
  <c r="K19" i="2"/>
  <c r="K20" i="2"/>
  <c r="K21" i="2"/>
  <c r="K22" i="2"/>
  <c r="K23" i="2"/>
  <c r="K24" i="2"/>
  <c r="K5" i="2"/>
  <c r="I25" i="2"/>
  <c r="J8" i="2" s="1"/>
  <c r="F23" i="1"/>
  <c r="D15" i="11" l="1"/>
  <c r="C11" i="6" s="1"/>
  <c r="C12" i="6"/>
  <c r="E12" i="6"/>
  <c r="E11" i="6"/>
  <c r="E10" i="6"/>
  <c r="D8" i="11"/>
  <c r="C10" i="6" s="1"/>
  <c r="J23" i="2"/>
  <c r="J19" i="2"/>
  <c r="J15" i="2"/>
  <c r="J11" i="2"/>
  <c r="J7" i="2"/>
  <c r="J22" i="2"/>
  <c r="J18" i="2"/>
  <c r="J14" i="2"/>
  <c r="J10" i="2"/>
  <c r="J6" i="2"/>
  <c r="J5" i="2"/>
  <c r="J21" i="2"/>
  <c r="J17" i="2"/>
  <c r="J13" i="2"/>
  <c r="J9" i="2"/>
  <c r="J24" i="2"/>
  <c r="J20" i="2"/>
  <c r="J16" i="2"/>
  <c r="J12" i="2"/>
  <c r="K25" i="2"/>
  <c r="L11" i="2" s="1"/>
  <c r="L14" i="2" l="1"/>
  <c r="M14" i="2"/>
  <c r="M11" i="2"/>
  <c r="L8" i="2"/>
  <c r="M8" i="2" s="1"/>
  <c r="L12" i="2"/>
  <c r="M12" i="2" s="1"/>
  <c r="L16" i="2"/>
  <c r="M16" i="2" s="1"/>
  <c r="L20" i="2"/>
  <c r="M20" i="2" s="1"/>
  <c r="L24" i="2"/>
  <c r="M24" i="2" s="1"/>
  <c r="D36" i="2"/>
  <c r="L9" i="2"/>
  <c r="M9" i="2" s="1"/>
  <c r="L13" i="2"/>
  <c r="M13" i="2" s="1"/>
  <c r="L17" i="2"/>
  <c r="M17" i="2" s="1"/>
  <c r="L21" i="2"/>
  <c r="M21" i="2" s="1"/>
  <c r="L5" i="2"/>
  <c r="M5" i="2" s="1"/>
  <c r="L18" i="2"/>
  <c r="M18" i="2" s="1"/>
  <c r="L15" i="2"/>
  <c r="M15" i="2" s="1"/>
  <c r="L6" i="2"/>
  <c r="M6" i="2" s="1"/>
  <c r="L22" i="2"/>
  <c r="M22" i="2" s="1"/>
  <c r="L19" i="2"/>
  <c r="M19" i="2" s="1"/>
  <c r="L10" i="2"/>
  <c r="M10" i="2" s="1"/>
  <c r="L7" i="2"/>
  <c r="M7" i="2" s="1"/>
  <c r="L23" i="2"/>
  <c r="M23" i="2" s="1"/>
  <c r="M25" i="2" l="1"/>
  <c r="M26" i="2" s="1"/>
  <c r="H23" i="1"/>
  <c r="C36" i="3"/>
  <c r="D35" i="2" l="1"/>
  <c r="C37" i="2" l="1"/>
  <c r="F6" i="2"/>
  <c r="F7" i="2"/>
  <c r="F8" i="2"/>
  <c r="F9" i="2"/>
  <c r="F10" i="2"/>
  <c r="F12" i="2"/>
  <c r="F13" i="2"/>
  <c r="F14" i="2"/>
  <c r="F15" i="2"/>
  <c r="F16" i="2"/>
  <c r="F17" i="2"/>
  <c r="F19" i="2"/>
  <c r="F20" i="2"/>
  <c r="F21" i="2"/>
  <c r="F22" i="2"/>
  <c r="F23" i="2"/>
  <c r="F24" i="2"/>
  <c r="F5" i="2"/>
  <c r="C8" i="6" l="1"/>
  <c r="E8" i="6"/>
  <c r="D20" i="1"/>
  <c r="F11" i="2" l="1"/>
  <c r="D21" i="1"/>
  <c r="F18" i="2" s="1"/>
  <c r="D25" i="2"/>
  <c r="D41" i="2" l="1"/>
  <c r="D23" i="1"/>
  <c r="D40" i="2"/>
  <c r="F25" i="2"/>
  <c r="E9" i="2"/>
  <c r="E13" i="2"/>
  <c r="E21" i="2"/>
  <c r="E5" i="2"/>
  <c r="E8" i="2"/>
  <c r="E12" i="2"/>
  <c r="E16" i="2"/>
  <c r="E20" i="2"/>
  <c r="E24" i="2"/>
  <c r="E6" i="2"/>
  <c r="E10" i="2"/>
  <c r="E14" i="2"/>
  <c r="E18" i="2"/>
  <c r="E22" i="2"/>
  <c r="E7" i="2"/>
  <c r="E11" i="2"/>
  <c r="E15" i="2"/>
  <c r="E19" i="2"/>
  <c r="E23" i="2"/>
  <c r="E17" i="2"/>
  <c r="D42" i="2" l="1"/>
  <c r="J25" i="2"/>
  <c r="C43" i="2"/>
  <c r="G11" i="2"/>
  <c r="H11" i="2" s="1"/>
  <c r="G18" i="2"/>
  <c r="H18" i="2" s="1"/>
  <c r="G7" i="2"/>
  <c r="H7" i="2" s="1"/>
  <c r="G14" i="2"/>
  <c r="H14" i="2" s="1"/>
  <c r="G6" i="2"/>
  <c r="H6" i="2" s="1"/>
  <c r="G20" i="2"/>
  <c r="H20" i="2" s="1"/>
  <c r="G8" i="2"/>
  <c r="H8" i="2" s="1"/>
  <c r="G21" i="2"/>
  <c r="H21" i="2" s="1"/>
  <c r="G23" i="2"/>
  <c r="H23" i="2" s="1"/>
  <c r="G15" i="2"/>
  <c r="H15" i="2" s="1"/>
  <c r="G22" i="2"/>
  <c r="H22" i="2" s="1"/>
  <c r="G13" i="2"/>
  <c r="H13" i="2" s="1"/>
  <c r="G24" i="2"/>
  <c r="H24" i="2" s="1"/>
  <c r="G12" i="2"/>
  <c r="H12" i="2" s="1"/>
  <c r="G5" i="2"/>
  <c r="H5" i="2" s="1"/>
  <c r="G10" i="2"/>
  <c r="H10" i="2" s="1"/>
  <c r="G16" i="2"/>
  <c r="H16" i="2" s="1"/>
  <c r="G9" i="2"/>
  <c r="H9" i="2" s="1"/>
  <c r="G17" i="2"/>
  <c r="H17" i="2" s="1"/>
  <c r="G19" i="2"/>
  <c r="H19" i="2" s="1"/>
  <c r="E25" i="2"/>
  <c r="C9" i="6" l="1"/>
  <c r="E9" i="6"/>
  <c r="L25" i="2"/>
  <c r="H25" i="2"/>
  <c r="G25" i="2"/>
  <c r="C32" i="2" l="1"/>
  <c r="D31" i="2"/>
  <c r="C7" i="6" l="1"/>
  <c r="E7"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D1" authorId="0" shapeId="0" xr:uid="{00000000-0006-0000-0100-000001000000}">
      <text>
        <r>
          <rPr>
            <b/>
            <sz val="9"/>
            <color indexed="81"/>
            <rFont val="Tahoma"/>
            <family val="2"/>
          </rPr>
          <t>lenovo:</t>
        </r>
        <r>
          <rPr>
            <sz val="9"/>
            <color indexed="81"/>
            <rFont val="Tahoma"/>
            <family val="2"/>
          </rPr>
          <t xml:space="preserve">
Escriba el nombre del producto potencial que se analizará</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D1" authorId="0" shapeId="0" xr:uid="{00000000-0006-0000-0200-000001000000}">
      <text>
        <r>
          <rPr>
            <b/>
            <sz val="9"/>
            <color indexed="81"/>
            <rFont val="Tahoma"/>
            <family val="2"/>
          </rPr>
          <t>lenovo:</t>
        </r>
        <r>
          <rPr>
            <sz val="9"/>
            <color indexed="81"/>
            <rFont val="Tahoma"/>
            <family val="2"/>
          </rPr>
          <t xml:space="preserve">
Escriba aquí el nombre del territorio al que corresponde la información</t>
        </r>
      </text>
    </comment>
  </commentList>
</comments>
</file>

<file path=xl/sharedStrings.xml><?xml version="1.0" encoding="utf-8"?>
<sst xmlns="http://schemas.openxmlformats.org/spreadsheetml/2006/main" count="286" uniqueCount="185">
  <si>
    <t>La presente herramienta le permitirá obtener información de los impactos de la cadena de valor de un producto potencial para que, a partir de su análisis, pueda determinar la pertinencia de trabajar de manera colectiva en la gestión del mismo para alcanzar los objetivos de desarrollo local de su territorio. Antes de iniciar, no olvide guardar este archivo con el nombre del producto y del territorio.</t>
  </si>
  <si>
    <t>¿Cuál es el producto que va a analizar?</t>
  </si>
  <si>
    <t>Artesanía enchapada en hoja caulinar de guadua</t>
  </si>
  <si>
    <t>¿Cuál es el territorio donde se encuentra la iniciativa?</t>
  </si>
  <si>
    <t>CIRCASIA</t>
  </si>
  <si>
    <t>A continucación, continue diligenciando la información de la cadena de valor del producto en la pestaña "CADENA DE VALOR"
Posteriormente, ingrese la información económica y de población del municipio donde se encuentra la iniciativa en la pestaña "INFO DE BASE"
Finalmente, responda las preguntas de acuerdo a la investigación del producto en su comunidad en la pestaña "INVESTIGACIÓN". 
Al terminar, puede abrir la pestaña "RESUMEN CV" para ver los resultados preliminares del análisis. En la parte de abajo encontrará un cuadro donde puede generar su análisis particular sobre los resultados arrojados. También puede explorar las otras pestañas para ver la información en gráficos para mayor comprensión. No olvide actualizar los gráficos cada vez que ingrese o cambie información.</t>
  </si>
  <si>
    <t>NOMBRE DEL PRODUCTO</t>
  </si>
  <si>
    <t>Eslabon</t>
  </si>
  <si>
    <t>Actividad</t>
  </si>
  <si>
    <t>Tiempo</t>
  </si>
  <si>
    <t>Costo</t>
  </si>
  <si>
    <t>Sector económico</t>
  </si>
  <si>
    <t>Beneficiarios</t>
  </si>
  <si>
    <t>Caracterización de los beneficiarios</t>
  </si>
  <si>
    <t>Oferta potencial</t>
  </si>
  <si>
    <t>INSTRUCCIONES</t>
  </si>
  <si>
    <r>
      <t xml:space="preserve">1.En el presente cuadro se debe ingresar la información correspondiente al proceso de diseño, producción, marketing y consumo final del producto o servicio que se analizará.
2. Si quiere cambiar el nombre de los eslabones de acuerdo a unos que se adapten mejor a los procesos de su producto, puede hacerlo.
3. Identifique primero las actividades que se desarrollan para cumplir con tareas específicas y escríbalas en el orden de ocurrencia en la </t>
    </r>
    <r>
      <rPr>
        <b/>
        <sz val="14"/>
        <color rgb="FFFF0000"/>
        <rFont val="Calibri"/>
        <family val="2"/>
        <scheme val="minor"/>
      </rPr>
      <t>columna B</t>
    </r>
    <r>
      <rPr>
        <sz val="14"/>
        <color theme="1"/>
        <rFont val="Calibri"/>
        <family val="2"/>
        <scheme val="minor"/>
      </rPr>
      <t xml:space="preserve">.
4. Si conoce el tiempo aproximado de las actividades, escríbalo en la </t>
    </r>
    <r>
      <rPr>
        <b/>
        <sz val="14"/>
        <color rgb="FFFF0000"/>
        <rFont val="Calibri"/>
        <family val="2"/>
        <scheme val="minor"/>
      </rPr>
      <t>columna C</t>
    </r>
    <r>
      <rPr>
        <sz val="14"/>
        <color theme="1"/>
        <rFont val="Calibri"/>
        <family val="2"/>
        <scheme val="minor"/>
      </rPr>
      <t xml:space="preserve">, de lo contrario, puede dejarla vacía.
5. Escriba el costo de cada una de estas actividades en la </t>
    </r>
    <r>
      <rPr>
        <b/>
        <sz val="14"/>
        <color rgb="FFFF0000"/>
        <rFont val="Calibri"/>
        <family val="2"/>
        <scheme val="minor"/>
      </rPr>
      <t>columna D</t>
    </r>
    <r>
      <rPr>
        <sz val="14"/>
        <color theme="1"/>
        <rFont val="Calibri"/>
        <family val="2"/>
        <scheme val="minor"/>
      </rPr>
      <t xml:space="preserve">. En esta columna no se puede dejar vacía ninguna celda.
6. En la </t>
    </r>
    <r>
      <rPr>
        <b/>
        <sz val="14"/>
        <color rgb="FFFF0000"/>
        <rFont val="Calibri"/>
        <family val="2"/>
        <scheme val="minor"/>
      </rPr>
      <t>columna E</t>
    </r>
    <r>
      <rPr>
        <sz val="14"/>
        <color theme="1"/>
        <rFont val="Calibri"/>
        <family val="2"/>
        <scheme val="minor"/>
      </rPr>
      <t xml:space="preserve">, seleccione el sector económico con el que se relaciona la actividad.
7. Escriba el número de beneficiarios de cada actividad en la </t>
    </r>
    <r>
      <rPr>
        <b/>
        <sz val="14"/>
        <color rgb="FFFF0000"/>
        <rFont val="Calibri"/>
        <family val="2"/>
        <scheme val="minor"/>
      </rPr>
      <t>columna F</t>
    </r>
    <r>
      <rPr>
        <sz val="14"/>
        <color theme="1"/>
        <rFont val="Calibri"/>
        <family val="2"/>
        <scheme val="minor"/>
      </rPr>
      <t xml:space="preserve">. Estos corresponden a los que perciben directamente el costo de dicha actividad (operarios, empleados, productores, etc)
8. Caracterice a los beneficiarios de acuerdo al criterio que usted considere pertinente. Puede describir características como su oficio, población étnica, condición de vulnerabilidad, estrato socioeconómico, entre otros. Esta característica servirá para analizar la población beneficiaria de acuerdo a la necesidad del territorio. Escriba esta información en la </t>
    </r>
    <r>
      <rPr>
        <b/>
        <sz val="14"/>
        <color rgb="FFFF0000"/>
        <rFont val="Calibri"/>
        <family val="2"/>
        <scheme val="minor"/>
      </rPr>
      <t>columna G.</t>
    </r>
    <r>
      <rPr>
        <sz val="14"/>
        <color theme="1"/>
        <rFont val="Calibri"/>
        <family val="2"/>
        <scheme val="minor"/>
      </rPr>
      <t xml:space="preserve">
9. Describa la oferta potencial de personas o empresas que puedan realizar esta misma actividad en el territorio en la </t>
    </r>
    <r>
      <rPr>
        <b/>
        <sz val="14"/>
        <color rgb="FFFF0000"/>
        <rFont val="Calibri"/>
        <family val="2"/>
        <scheme val="minor"/>
      </rPr>
      <t>columna H</t>
    </r>
    <r>
      <rPr>
        <sz val="14"/>
        <color theme="1"/>
        <rFont val="Calibri"/>
        <family val="2"/>
        <scheme val="minor"/>
      </rPr>
      <t>. Si no conoce un dato exacto, puede escribir un dato aproximado. En esta columna es muy importante no repetir valores de personas o empresas que pueden desarrollar varias actividades, es decir, si las 50 personas que pueden desarrollar la actividad A son las mismas que pueden desarrollar la actividad B, no necesita escribir nuevamente el número.</t>
    </r>
  </si>
  <si>
    <t>DISEÑO DE PRODUCTO</t>
  </si>
  <si>
    <t>•Realizar el diseño de la pieza de madera</t>
  </si>
  <si>
    <t>8 horas</t>
  </si>
  <si>
    <t xml:space="preserve">Actividades profesionales, científicas y técnicas </t>
  </si>
  <si>
    <t>Artesano Independiente</t>
  </si>
  <si>
    <t>•Realizar el dibujo del enchape</t>
  </si>
  <si>
    <t>•Establecer medidas y calidad de los materiales</t>
  </si>
  <si>
    <t>•Recolectar y preparar de hojas caulinares</t>
  </si>
  <si>
    <t xml:space="preserve">Agricultura, ganadería, caza, silvicultura y pesca </t>
  </si>
  <si>
    <t>Guaduero</t>
  </si>
  <si>
    <t>PRODUCCIÓN</t>
  </si>
  <si>
    <t>•Comprar insumos necesarios</t>
  </si>
  <si>
    <t>1 hora</t>
  </si>
  <si>
    <t>Comercio al por mayor y al por menor; reparación de vehículos automotores y motocicletas</t>
  </si>
  <si>
    <t>Tienda de insumos</t>
  </si>
  <si>
    <t>•Elaborar de la pieza base de madera</t>
  </si>
  <si>
    <t>3 horas</t>
  </si>
  <si>
    <t>Industrias Manufactureras</t>
  </si>
  <si>
    <t>•Enchapar con hoja caulinar</t>
  </si>
  <si>
    <t>•Empacar</t>
  </si>
  <si>
    <t>Trabajador de tienda artesanal</t>
  </si>
  <si>
    <t>MARKETING</t>
  </si>
  <si>
    <t>•Ofrecer (directo a clientes), exhibir (entienda) o promocionar (en ferias) producto a clientes minoristas</t>
  </si>
  <si>
    <t>6 HORAS</t>
  </si>
  <si>
    <t>Actividades de servicios administrativos y de apoyo</t>
  </si>
  <si>
    <t>CONSUMO</t>
  </si>
  <si>
    <t>Venta del producto en tiendas externas, ferias o tiendas propias</t>
  </si>
  <si>
    <t>30 minutos</t>
  </si>
  <si>
    <t>Retroalimentar satisfacción del cliente</t>
  </si>
  <si>
    <t>10 minutos</t>
  </si>
  <si>
    <t>TOTALES</t>
  </si>
  <si>
    <t>NOMBRE DEL MUNICIPIO</t>
  </si>
  <si>
    <t>INFORMACIÓN ECONÓMICA</t>
  </si>
  <si>
    <t>INFORMACIÓN DE LA OFERTA</t>
  </si>
  <si>
    <t>INFORMACIÓN DE POBLACIÓN</t>
  </si>
  <si>
    <t>CÓD</t>
  </si>
  <si>
    <t>SECTORES ECONÓMICOS SEGÚN CÓDIGO CIIU</t>
  </si>
  <si>
    <t>VALOR ACTIVOS</t>
  </si>
  <si>
    <t>% Económico</t>
  </si>
  <si>
    <t>BENEFICIOS AL SECTOR</t>
  </si>
  <si>
    <t>% Beneficios</t>
  </si>
  <si>
    <t>IMPACTO ECONÓMICO</t>
  </si>
  <si>
    <t># EMPRESAS</t>
  </si>
  <si>
    <t>% Empresas</t>
  </si>
  <si>
    <t>BENEFICIARIOS POR SECTOR</t>
  </si>
  <si>
    <t>% Benefiarios</t>
  </si>
  <si>
    <t>IMPACTO DE BENEFICIARIOS</t>
  </si>
  <si>
    <t>POBLACIÓN TOTAL</t>
  </si>
  <si>
    <t>A</t>
  </si>
  <si>
    <t>FAMILIAS EN TERRITORIO</t>
  </si>
  <si>
    <t>B</t>
  </si>
  <si>
    <t>Explotación de minas y canteras</t>
  </si>
  <si>
    <t>C</t>
  </si>
  <si>
    <t>D</t>
  </si>
  <si>
    <t>Suministro de electricidad, gas, vapor y aire acondicionado</t>
  </si>
  <si>
    <t>E</t>
  </si>
  <si>
    <t xml:space="preserve">Distribución de agua; evacuación y tratamiento de aguas residuales, gestión de desechos y actividades de saneamiento ambiental </t>
  </si>
  <si>
    <r>
      <t xml:space="preserve">1. Ingrese el nombre del municipio donde se está realizando el análisis en la celda </t>
    </r>
    <r>
      <rPr>
        <b/>
        <sz val="12"/>
        <color rgb="FFFF0000"/>
        <rFont val="Calibri"/>
        <family val="2"/>
        <scheme val="minor"/>
      </rPr>
      <t>D1</t>
    </r>
    <r>
      <rPr>
        <sz val="12"/>
        <color rgb="FFFF0000"/>
        <rFont val="Calibri"/>
        <family val="2"/>
        <scheme val="minor"/>
      </rPr>
      <t>.</t>
    </r>
    <r>
      <rPr>
        <sz val="12"/>
        <color theme="1"/>
        <rFont val="Calibri"/>
        <family val="2"/>
        <scheme val="minor"/>
      </rPr>
      <t xml:space="preserve">
2. Ingrese el total de la suma de los activos de las empresas que se registraron en cada sector económico el último año, desde las celdas </t>
    </r>
    <r>
      <rPr>
        <b/>
        <sz val="12"/>
        <color rgb="FFFF0000"/>
        <rFont val="Calibri"/>
        <family val="2"/>
        <scheme val="minor"/>
      </rPr>
      <t>D5</t>
    </r>
    <r>
      <rPr>
        <b/>
        <sz val="12"/>
        <color theme="1"/>
        <rFont val="Calibri"/>
        <family val="2"/>
        <scheme val="minor"/>
      </rPr>
      <t xml:space="preserve"> </t>
    </r>
    <r>
      <rPr>
        <sz val="12"/>
        <color theme="1"/>
        <rFont val="Calibri"/>
        <family val="2"/>
        <scheme val="minor"/>
      </rPr>
      <t xml:space="preserve">a </t>
    </r>
    <r>
      <rPr>
        <b/>
        <sz val="12"/>
        <color rgb="FFFF0000"/>
        <rFont val="Calibri"/>
        <family val="2"/>
        <scheme val="minor"/>
      </rPr>
      <t>D24</t>
    </r>
    <r>
      <rPr>
        <sz val="12"/>
        <color theme="1"/>
        <rFont val="Calibri"/>
        <family val="2"/>
        <scheme val="minor"/>
      </rPr>
      <t xml:space="preserve">.
3. Ingrese el número de empresas que se registraron en cada sector económico el último año, desde las celdas </t>
    </r>
    <r>
      <rPr>
        <b/>
        <sz val="12"/>
        <color rgb="FFFF0000"/>
        <rFont val="Calibri"/>
        <family val="2"/>
        <scheme val="minor"/>
      </rPr>
      <t>I5</t>
    </r>
    <r>
      <rPr>
        <sz val="12"/>
        <color theme="1"/>
        <rFont val="Calibri"/>
        <family val="2"/>
        <scheme val="minor"/>
      </rPr>
      <t xml:space="preserve"> a </t>
    </r>
    <r>
      <rPr>
        <b/>
        <sz val="12"/>
        <color rgb="FFFF0000"/>
        <rFont val="Calibri"/>
        <family val="2"/>
        <scheme val="minor"/>
      </rPr>
      <t>I24</t>
    </r>
    <r>
      <rPr>
        <sz val="12"/>
        <color theme="1"/>
        <rFont val="Calibri"/>
        <family val="2"/>
        <scheme val="minor"/>
      </rPr>
      <t xml:space="preserve">. 
4. Ingrese la población total del municipio en la celda </t>
    </r>
    <r>
      <rPr>
        <b/>
        <sz val="12"/>
        <color rgb="FFFF0000"/>
        <rFont val="Calibri"/>
        <family val="2"/>
        <scheme val="minor"/>
      </rPr>
      <t>P4</t>
    </r>
    <r>
      <rPr>
        <sz val="12"/>
        <color theme="1"/>
        <rFont val="Calibri"/>
        <family val="2"/>
        <scheme val="minor"/>
      </rPr>
      <t xml:space="preserve">.
5. Ingrese el número de familias u hogares del municipio en la celda </t>
    </r>
    <r>
      <rPr>
        <b/>
        <sz val="12"/>
        <color rgb="FFFF0000"/>
        <rFont val="Calibri"/>
        <family val="2"/>
        <scheme val="minor"/>
      </rPr>
      <t>P5</t>
    </r>
    <r>
      <rPr>
        <sz val="12"/>
        <color theme="1"/>
        <rFont val="Calibri"/>
        <family val="2"/>
        <scheme val="minor"/>
      </rPr>
      <t>.</t>
    </r>
  </si>
  <si>
    <t>F</t>
  </si>
  <si>
    <t>Construcción</t>
  </si>
  <si>
    <t>G</t>
  </si>
  <si>
    <t>H</t>
  </si>
  <si>
    <t>Transporte y almacenamiento</t>
  </si>
  <si>
    <t>I</t>
  </si>
  <si>
    <t>Alojamiento y servicios de comida</t>
  </si>
  <si>
    <t>J</t>
  </si>
  <si>
    <t>Información y comunicaciones</t>
  </si>
  <si>
    <t>K</t>
  </si>
  <si>
    <t>Actividades financieras y de seguros</t>
  </si>
  <si>
    <t>L</t>
  </si>
  <si>
    <t>Actividades inmobiliarias</t>
  </si>
  <si>
    <t>M</t>
  </si>
  <si>
    <t>N</t>
  </si>
  <si>
    <t>O</t>
  </si>
  <si>
    <t>Administración pública y defensa; planes de seguridad social de afiliación obligatoria</t>
  </si>
  <si>
    <t>P</t>
  </si>
  <si>
    <t>Educación</t>
  </si>
  <si>
    <t>Q</t>
  </si>
  <si>
    <t>Actividades de atención de la salud humana y de asistencia social</t>
  </si>
  <si>
    <t>R</t>
  </si>
  <si>
    <t>Actividades artísticas, de entretenimiento y recreación</t>
  </si>
  <si>
    <t>S</t>
  </si>
  <si>
    <t>Otras actividades de servicios</t>
  </si>
  <si>
    <t>T</t>
  </si>
  <si>
    <t>Actividades de los hogares individuales en calidad de empleadores</t>
  </si>
  <si>
    <t>CÁLCULOS</t>
  </si>
  <si>
    <t>IMPACTO ECONÓMICO MUNICIPAL</t>
  </si>
  <si>
    <t>Número de Beneficiarios Directos</t>
  </si>
  <si>
    <t>% de Beneficiarios Potenciales</t>
  </si>
  <si>
    <t>PROMEDIO</t>
  </si>
  <si>
    <t>DESVIACIÓN ESTANDAR</t>
  </si>
  <si>
    <t>DISTRIBUCIÓN DE LOS BENEFICIOS</t>
  </si>
  <si>
    <t>¡HABLEMOS DE NUESTRO PRODUCTO!</t>
  </si>
  <si>
    <t>Realiza una investigación en tu comunidad para que puedas responder las siguientes preguntas</t>
  </si>
  <si>
    <t>Posicionamiento del producto dentro del municipio</t>
  </si>
  <si>
    <t>¿El producto es conocido por la comunidad?</t>
  </si>
  <si>
    <t>SI</t>
  </si>
  <si>
    <t>¿La comunidad recomienda este producto?</t>
  </si>
  <si>
    <t>1. Responda las preguntas de cada sección respondiendo solo SI o NO. Puede elegir la respuesta de la lista.
2. Al terminar puede ir a la hoja resumen</t>
  </si>
  <si>
    <t>¿Las personas sienten que el producto representa su municipio?</t>
  </si>
  <si>
    <t>NO</t>
  </si>
  <si>
    <t>¿La comunidad habla con orgullo de este producto?</t>
  </si>
  <si>
    <t>RESULTADO:</t>
  </si>
  <si>
    <t>Potencial en el mercado</t>
  </si>
  <si>
    <t>¿Hay un mercado identificado para el producto?</t>
  </si>
  <si>
    <t>¿El producto se está vendiendo actualmente?</t>
  </si>
  <si>
    <t>¿El producto tiene una alta participación en el mercado?</t>
  </si>
  <si>
    <t>¿El producto es competitivo en el mercado identificado?</t>
  </si>
  <si>
    <t>Oportunidad de Crecimiento</t>
  </si>
  <si>
    <t>¿La producción y venta del producto está regulada?</t>
  </si>
  <si>
    <t>¿El grupo de productores/vendedores es formal?</t>
  </si>
  <si>
    <t>¿Hay interés de los entidades del territorio por fortalecer el producto?</t>
  </si>
  <si>
    <t>¿El grupo de productores/vendedores está organizado?</t>
  </si>
  <si>
    <t>Analisis General de 6 consideraciones para producto OVOP</t>
  </si>
  <si>
    <t>MUNICIPIO:</t>
  </si>
  <si>
    <t>PRODUCTO:</t>
  </si>
  <si>
    <t>Asunto de Evaluacion</t>
  </si>
  <si>
    <t>RESULTADO</t>
  </si>
  <si>
    <t>Impacto económico municipal</t>
  </si>
  <si>
    <t>Número de beneficiarios potenciales</t>
  </si>
  <si>
    <t>Distribución de los beneficios</t>
  </si>
  <si>
    <t>Posicionamiento interno</t>
  </si>
  <si>
    <t>Oportunidad de crecimiento</t>
  </si>
  <si>
    <t>Análisis del evaluador</t>
  </si>
  <si>
    <t>RESPUESTAS DE RESULTADOS</t>
  </si>
  <si>
    <t>IMPACTO ECONOMICO</t>
  </si>
  <si>
    <t>MUY ALTO</t>
  </si>
  <si>
    <r>
      <t xml:space="preserve">La comercialización colectiva del producto generá un impacto económico </t>
    </r>
    <r>
      <rPr>
        <b/>
        <sz val="11"/>
        <color theme="1"/>
        <rFont val="Calibri"/>
        <family val="2"/>
        <scheme val="minor"/>
      </rPr>
      <t>MUY ALTO</t>
    </r>
    <r>
      <rPr>
        <sz val="11"/>
        <color theme="1"/>
        <rFont val="Calibri"/>
        <family val="2"/>
        <scheme val="minor"/>
      </rPr>
      <t xml:space="preserve"> en el territorio ya que su cadena de valor se relaciona de directamente con la composición sectorial el municipio.</t>
    </r>
  </si>
  <si>
    <t>ALTO</t>
  </si>
  <si>
    <r>
      <t xml:space="preserve">La comercialización colectiva del producto generá un impacto económico </t>
    </r>
    <r>
      <rPr>
        <b/>
        <sz val="11"/>
        <color theme="1"/>
        <rFont val="Calibri"/>
        <family val="2"/>
        <scheme val="minor"/>
      </rPr>
      <t>ALTO</t>
    </r>
    <r>
      <rPr>
        <sz val="11"/>
        <color theme="1"/>
        <rFont val="Calibri"/>
        <family val="2"/>
        <scheme val="minor"/>
      </rPr>
      <t xml:space="preserve"> en el territorio ya que su cadena de valor tiene en cuenta varios de los sectores más fuertes en la economía local</t>
    </r>
  </si>
  <si>
    <t>MEDIO</t>
  </si>
  <si>
    <r>
      <t xml:space="preserve">La comercialización colectiva del producto tiene un impacto </t>
    </r>
    <r>
      <rPr>
        <b/>
        <sz val="11"/>
        <color theme="1"/>
        <rFont val="Calibri"/>
        <family val="2"/>
        <scheme val="minor"/>
      </rPr>
      <t>MEDIO</t>
    </r>
    <r>
      <rPr>
        <sz val="11"/>
        <color theme="1"/>
        <rFont val="Calibri"/>
        <family val="2"/>
        <scheme val="minor"/>
      </rPr>
      <t xml:space="preserve"> en el territorio ya que su cadena de valor solo tiene en cuenta algunos de los sectores más fuertes de la economía local.</t>
    </r>
  </si>
  <si>
    <t>BAJO</t>
  </si>
  <si>
    <r>
      <t xml:space="preserve">La comercialización colectiva del producto tiene un impacto </t>
    </r>
    <r>
      <rPr>
        <b/>
        <sz val="11"/>
        <color theme="1"/>
        <rFont val="Calibri"/>
        <family val="2"/>
        <scheme val="minor"/>
      </rPr>
      <t>BAJO</t>
    </r>
    <r>
      <rPr>
        <sz val="11"/>
        <color theme="1"/>
        <rFont val="Calibri"/>
        <family val="2"/>
        <scheme val="minor"/>
      </rPr>
      <t xml:space="preserve"> en el territorio ya que su cadena de valor no tiene en cuenta a los sectores más fuertes de la economía local.</t>
    </r>
  </si>
  <si>
    <t>NÚMERO DE BENEFICIARIOS POTENCIALES</t>
  </si>
  <si>
    <t>La cadena de valor del producto tiene una gran oportunidad de beneficiar un alto número de personas en el territorio si se gestiona de manera colectiva</t>
  </si>
  <si>
    <t>La cadena de valor del producto puede beneficiar más personas en el territorio se se gestiona de manera colectiva</t>
  </si>
  <si>
    <t>La cadena de valor del producto tiene limitaciones para involucrar y extender sus beneficios a más personas en el territorio.</t>
  </si>
  <si>
    <t>La cadena de valor del producto tiene pocas posibilidad de involucrar nuevas personas del territorio.</t>
  </si>
  <si>
    <t>La distribución de los beneficios en la cadena de valor del producto es muy equitativa y beneficia a sus involucrados sin generar desigualdad</t>
  </si>
  <si>
    <t>La distribución de los beneficios en la cadena de valor del producto es es equitativa con sus involucrados.</t>
  </si>
  <si>
    <t>La distribución de los beneficios de la cadena de valor del producto es ligeramente inequitativa con sus involucrados</t>
  </si>
  <si>
    <t>La distribución de los beneficios de la cadena de valor del producto es muy inequitativa entre sus involucrados</t>
  </si>
  <si>
    <t>POCISIONAMIENTO INTERNO</t>
  </si>
  <si>
    <t>El producto está muy apropiado por la comunidad y representa el orgullo local</t>
  </si>
  <si>
    <t>El producto está apropiado por la comunidad y puede representar la identida local.</t>
  </si>
  <si>
    <t>El producto está ligeramente apropiado por la comunidad pero se debe dar a conocer más para conectarlo con la identidad local.</t>
  </si>
  <si>
    <t>El producto no está apropiado por la comunidad y por lo tanto no representa aún una identidad local.</t>
  </si>
  <si>
    <t>POTENCIAL EN EL MERCADO</t>
  </si>
  <si>
    <t xml:space="preserve">El producto tiene muchas oportunidades para competir en el mercado. </t>
  </si>
  <si>
    <t>El producto tiene puede competir en el mercado</t>
  </si>
  <si>
    <t>Aún no hay claridad en el mercado para que el producto pueda entrar a competir</t>
  </si>
  <si>
    <t>El producto no tiene potencial para ser comercializado</t>
  </si>
  <si>
    <t>OPORTUNIDAD DE CRECIMIENTO</t>
  </si>
  <si>
    <r>
      <t xml:space="preserve">El producto tiene una oportunidad </t>
    </r>
    <r>
      <rPr>
        <b/>
        <sz val="11"/>
        <color theme="1"/>
        <rFont val="Calibri"/>
        <family val="2"/>
        <scheme val="minor"/>
      </rPr>
      <t>MUY ALTA</t>
    </r>
    <r>
      <rPr>
        <sz val="11"/>
        <color theme="1"/>
        <rFont val="Calibri"/>
        <family val="2"/>
        <scheme val="minor"/>
      </rPr>
      <t xml:space="preserve"> de crecer en el territorio gracias a la organización de la comunidad y a la oferta institucional relacionada con el fortalecimiento del producto.</t>
    </r>
  </si>
  <si>
    <t>El producto tiene oportunidad de crecer en el territorio gracias a la organización de la comunidad y/o a la oferta institucional relacionada con el fortalecimiento del producto.</t>
  </si>
  <si>
    <t>La organización de la comunidad y la oferta institucional no tiene suficiente conexión con el crecimiento del producto.</t>
  </si>
  <si>
    <t>La falta de organización de la comunidad y la poca oferta institucional obstaculizan el crecimiento del producto.</t>
  </si>
  <si>
    <t>(Varios elementos)</t>
  </si>
  <si>
    <t>BENEFICIOS DIRECTOS POR SECTOR ECONÓMICO</t>
  </si>
  <si>
    <t>COMPOSICIÓN ECONÓMICA DEL MUNICIPIO</t>
  </si>
  <si>
    <t>Etiquetas de fila</t>
  </si>
  <si>
    <t>Suma de Costo</t>
  </si>
  <si>
    <t>Suma de % Económico</t>
  </si>
  <si>
    <t>Suma de % Empresas</t>
  </si>
  <si>
    <t>Total general</t>
  </si>
  <si>
    <t>DISTRIBUCIÓN DE LOS BENEFICIOS Y OFERTA POTENCIAL</t>
  </si>
  <si>
    <t>Suma de Beneficiarios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</si>
</sst>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64" formatCode="_-&quot;$&quot;* #,##0_-;\-&quot;$&quot;* #,##0_-;_-&quot;$&quot;* &quot;-&quot;_-;_-@_-"/>
    <numFmt numFmtId="165" formatCode="0.000"/>
    <numFmt numFmtId="166" formatCode="0.0000"/>
    <numFmt numFmtId="167" formatCode="_-[$$-240A]\ * #,##0.00_-;\-[$$-240A]\ * #,##0.00_-;_-[$$-240A]\ * &quot;-&quot;??_-;_-@_-"/>
    <numFmt numFmtId="168" formatCode="#,##0_ ;\-#,##0\ "/>
  </numFmts>
  <fonts count="38">
    <font>
      <sz val="11"/>
      <color theme="1"/>
      <name val="Calibri"/>
      <family val="2"/>
      <scheme val="minor"/>
    </font>
    <font>
      <b/>
      <sz val="11"/>
      <color theme="1"/>
      <name val="Calibri"/>
      <family val="2"/>
      <scheme val="minor"/>
    </font>
    <font>
      <b/>
      <sz val="14"/>
      <color theme="1"/>
      <name val="Calibri"/>
      <family val="2"/>
      <scheme val="minor"/>
    </font>
    <font>
      <sz val="11"/>
      <color theme="1"/>
      <name val="Calibri"/>
      <family val="2"/>
      <scheme val="minor"/>
    </font>
    <font>
      <b/>
      <sz val="16"/>
      <color theme="0"/>
      <name val="Calibri"/>
      <family val="2"/>
      <scheme val="minor"/>
    </font>
    <font>
      <b/>
      <sz val="11"/>
      <color theme="0"/>
      <name val="Calibri"/>
      <family val="2"/>
      <scheme val="minor"/>
    </font>
    <font>
      <b/>
      <sz val="12"/>
      <color theme="1"/>
      <name val="Calibri"/>
      <family val="2"/>
      <scheme val="minor"/>
    </font>
    <font>
      <b/>
      <sz val="11"/>
      <name val="Calibri"/>
      <family val="2"/>
      <scheme val="minor"/>
    </font>
    <font>
      <b/>
      <sz val="14"/>
      <color theme="0"/>
      <name val="Calibri"/>
      <family val="2"/>
      <scheme val="minor"/>
    </font>
    <font>
      <b/>
      <sz val="16"/>
      <color theme="0"/>
      <name val="Century Gothic"/>
      <family val="2"/>
    </font>
    <font>
      <sz val="8"/>
      <color theme="1"/>
      <name val="Arial"/>
      <family val="2"/>
    </font>
    <font>
      <b/>
      <sz val="16"/>
      <color theme="1"/>
      <name val="Gill Sans MT"/>
      <family val="2"/>
    </font>
    <font>
      <sz val="18"/>
      <color theme="1"/>
      <name val="Gill Sans MT"/>
      <family val="2"/>
    </font>
    <font>
      <sz val="12"/>
      <color theme="1"/>
      <name val="Calibri"/>
      <family val="2"/>
      <scheme val="minor"/>
    </font>
    <font>
      <b/>
      <sz val="18"/>
      <color theme="1"/>
      <name val="Calibri"/>
      <family val="2"/>
      <scheme val="minor"/>
    </font>
    <font>
      <b/>
      <sz val="11"/>
      <color theme="9" tint="0.59999389629810485"/>
      <name val="Calibri"/>
      <family val="2"/>
      <scheme val="minor"/>
    </font>
    <font>
      <b/>
      <sz val="11"/>
      <color theme="8" tint="-0.249977111117893"/>
      <name val="Calibri"/>
      <family val="2"/>
      <scheme val="minor"/>
    </font>
    <font>
      <sz val="14"/>
      <color theme="1"/>
      <name val="Calibri"/>
      <family val="2"/>
      <scheme val="minor"/>
    </font>
    <font>
      <b/>
      <sz val="16"/>
      <color theme="1"/>
      <name val="Calibri"/>
      <family val="2"/>
      <scheme val="minor"/>
    </font>
    <font>
      <b/>
      <sz val="12"/>
      <color rgb="FFFF0000"/>
      <name val="Calibri"/>
      <family val="2"/>
      <scheme val="minor"/>
    </font>
    <font>
      <sz val="12"/>
      <color rgb="FFFF0000"/>
      <name val="Calibri"/>
      <family val="2"/>
      <scheme val="minor"/>
    </font>
    <font>
      <b/>
      <sz val="24"/>
      <color theme="1"/>
      <name val="Calibri"/>
      <family val="2"/>
      <scheme val="minor"/>
    </font>
    <font>
      <sz val="9"/>
      <color indexed="81"/>
      <name val="Tahoma"/>
      <family val="2"/>
    </font>
    <font>
      <b/>
      <sz val="9"/>
      <color indexed="81"/>
      <name val="Tahoma"/>
      <family val="2"/>
    </font>
    <font>
      <b/>
      <sz val="14"/>
      <color rgb="FFFF0000"/>
      <name val="Calibri"/>
      <family val="2"/>
      <scheme val="minor"/>
    </font>
    <font>
      <b/>
      <sz val="14"/>
      <color theme="1"/>
      <name val="Gill Sans MT"/>
      <family val="2"/>
    </font>
    <font>
      <b/>
      <sz val="11"/>
      <color theme="1"/>
      <name val="Gill Sans MT"/>
      <family val="2"/>
    </font>
    <font>
      <b/>
      <sz val="10"/>
      <color theme="1"/>
      <name val="Gill Sans MT"/>
      <family val="2"/>
    </font>
    <font>
      <b/>
      <sz val="18"/>
      <color theme="0"/>
      <name val="Calibri"/>
      <family val="2"/>
      <scheme val="minor"/>
    </font>
    <font>
      <b/>
      <sz val="11"/>
      <color rgb="FFFF0000"/>
      <name val="Calibri"/>
      <family val="2"/>
      <scheme val="minor"/>
    </font>
    <font>
      <sz val="11"/>
      <color theme="1"/>
      <name val="Gill Sans MT"/>
      <family val="2"/>
    </font>
    <font>
      <sz val="11"/>
      <color rgb="FFFF0000"/>
      <name val="Gill Sans MT"/>
      <family val="2"/>
    </font>
    <font>
      <b/>
      <sz val="14"/>
      <name val="Century Gothic"/>
      <family val="2"/>
    </font>
    <font>
      <sz val="9"/>
      <color theme="1"/>
      <name val="Gill Sans MT"/>
      <family val="2"/>
    </font>
    <font>
      <b/>
      <sz val="12"/>
      <color theme="1"/>
      <name val="Gill Sans MT"/>
      <family val="2"/>
    </font>
    <font>
      <sz val="14"/>
      <color theme="1"/>
      <name val="Gill Sans MT"/>
      <family val="2"/>
    </font>
    <font>
      <b/>
      <sz val="18"/>
      <color theme="1"/>
      <name val="Gill Sans MT"/>
      <family val="2"/>
    </font>
    <font>
      <b/>
      <sz val="16"/>
      <name val="Century Gothic"/>
      <family val="2"/>
    </font>
  </fonts>
  <fills count="21">
    <fill>
      <patternFill patternType="none"/>
    </fill>
    <fill>
      <patternFill patternType="gray125"/>
    </fill>
    <fill>
      <patternFill patternType="solid">
        <fgColor theme="7" tint="0.79998168889431442"/>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6" tint="0.79998168889431442"/>
        <bgColor indexed="64"/>
      </patternFill>
    </fill>
    <fill>
      <patternFill patternType="solid">
        <fgColor rgb="FFFFFF00"/>
        <bgColor indexed="64"/>
      </patternFill>
    </fill>
    <fill>
      <patternFill patternType="solid">
        <fgColor theme="9"/>
        <bgColor indexed="64"/>
      </patternFill>
    </fill>
    <fill>
      <patternFill patternType="solid">
        <fgColor theme="7"/>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8"/>
        <bgColor indexed="64"/>
      </patternFill>
    </fill>
    <fill>
      <patternFill patternType="solid">
        <fgColor theme="4"/>
        <bgColor indexed="64"/>
      </patternFill>
    </fill>
    <fill>
      <patternFill patternType="solid">
        <fgColor theme="4" tint="0.79998168889431442"/>
        <bgColor indexed="64"/>
      </patternFill>
    </fill>
    <fill>
      <patternFill patternType="solid">
        <fgColor theme="1"/>
        <bgColor indexed="64"/>
      </patternFill>
    </fill>
    <fill>
      <patternFill patternType="solid">
        <fgColor theme="0"/>
        <bgColor indexed="64"/>
      </patternFill>
    </fill>
    <fill>
      <patternFill patternType="solid">
        <fgColor theme="7" tint="0.59999389629810485"/>
        <bgColor indexed="64"/>
      </patternFill>
    </fill>
    <fill>
      <patternFill patternType="solid">
        <fgColor theme="5"/>
        <bgColor indexed="64"/>
      </patternFill>
    </fill>
    <fill>
      <patternFill patternType="solid">
        <fgColor theme="5" tint="0.59999389629810485"/>
        <bgColor indexed="64"/>
      </patternFill>
    </fill>
    <fill>
      <patternFill patternType="solid">
        <fgColor theme="8" tint="0.59999389629810485"/>
        <bgColor indexed="64"/>
      </patternFill>
    </fill>
  </fills>
  <borders count="6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theme="1"/>
      </left>
      <right style="thin">
        <color theme="1"/>
      </right>
      <top style="medium">
        <color theme="1"/>
      </top>
      <bottom style="thin">
        <color theme="1"/>
      </bottom>
      <diagonal/>
    </border>
    <border>
      <left style="thin">
        <color theme="1"/>
      </left>
      <right style="thin">
        <color theme="1"/>
      </right>
      <top style="medium">
        <color theme="1"/>
      </top>
      <bottom style="thin">
        <color theme="1"/>
      </bottom>
      <diagonal/>
    </border>
    <border>
      <left style="thin">
        <color theme="1"/>
      </left>
      <right style="thin">
        <color theme="1"/>
      </right>
      <top style="medium">
        <color theme="1"/>
      </top>
      <bottom/>
      <diagonal/>
    </border>
    <border>
      <left style="thin">
        <color theme="1"/>
      </left>
      <right style="medium">
        <color theme="1"/>
      </right>
      <top style="medium">
        <color theme="1"/>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top/>
      <bottom/>
      <diagonal/>
    </border>
    <border>
      <left/>
      <right style="medium">
        <color theme="1"/>
      </right>
      <top/>
      <bottom/>
      <diagonal/>
    </border>
    <border>
      <left style="thin">
        <color theme="1"/>
      </left>
      <right/>
      <top/>
      <bottom style="thin">
        <color indexed="64"/>
      </bottom>
      <diagonal/>
    </border>
    <border>
      <left/>
      <right/>
      <top/>
      <bottom style="thin">
        <color indexed="64"/>
      </bottom>
      <diagonal/>
    </border>
    <border>
      <left/>
      <right style="thin">
        <color theme="1"/>
      </right>
      <top/>
      <bottom style="thin">
        <color indexed="64"/>
      </bottom>
      <diagonal/>
    </border>
    <border>
      <left style="medium">
        <color theme="1"/>
      </left>
      <right/>
      <top style="thin">
        <color theme="1"/>
      </top>
      <bottom/>
      <diagonal/>
    </border>
    <border>
      <left/>
      <right/>
      <top style="thin">
        <color theme="1"/>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theme="1"/>
      </top>
      <bottom style="thin">
        <color theme="1"/>
      </bottom>
      <diagonal/>
    </border>
    <border>
      <left/>
      <right style="thin">
        <color theme="1"/>
      </right>
      <top style="thin">
        <color theme="1"/>
      </top>
      <bottom style="thin">
        <color theme="1"/>
      </bottom>
      <diagonal/>
    </border>
    <border>
      <left/>
      <right style="thin">
        <color theme="1"/>
      </right>
      <top/>
      <bottom style="thin">
        <color theme="1"/>
      </bottom>
      <diagonal/>
    </border>
    <border>
      <left style="medium">
        <color indexed="64"/>
      </left>
      <right style="thin">
        <color theme="1"/>
      </right>
      <top style="medium">
        <color indexed="64"/>
      </top>
      <bottom style="thin">
        <color theme="1"/>
      </bottom>
      <diagonal/>
    </border>
    <border>
      <left style="thin">
        <color theme="1"/>
      </left>
      <right style="thin">
        <color theme="1"/>
      </right>
      <top style="medium">
        <color indexed="64"/>
      </top>
      <bottom/>
      <diagonal/>
    </border>
    <border>
      <left style="thin">
        <color theme="1"/>
      </left>
      <right/>
      <top style="medium">
        <color indexed="64"/>
      </top>
      <bottom style="thin">
        <color theme="1"/>
      </bottom>
      <diagonal/>
    </border>
    <border>
      <left/>
      <right style="medium">
        <color indexed="64"/>
      </right>
      <top style="medium">
        <color indexed="64"/>
      </top>
      <bottom style="thin">
        <color theme="1"/>
      </bottom>
      <diagonal/>
    </border>
    <border>
      <left style="medium">
        <color indexed="64"/>
      </left>
      <right/>
      <top style="thin">
        <color theme="1"/>
      </top>
      <bottom style="thin">
        <color theme="1"/>
      </bottom>
      <diagonal/>
    </border>
    <border>
      <left/>
      <right style="medium">
        <color indexed="64"/>
      </right>
      <top style="thin">
        <color theme="1"/>
      </top>
      <bottom style="thin">
        <color theme="1"/>
      </bottom>
      <diagonal/>
    </border>
    <border>
      <left style="medium">
        <color indexed="64"/>
      </left>
      <right/>
      <top style="thin">
        <color theme="1"/>
      </top>
      <bottom style="medium">
        <color indexed="64"/>
      </bottom>
      <diagonal/>
    </border>
  </borders>
  <cellStyleXfs count="4">
    <xf numFmtId="0" fontId="0" fillId="0" borderId="0"/>
    <xf numFmtId="9" fontId="3" fillId="0" borderId="0" applyFont="0" applyFill="0" applyBorder="0" applyAlignment="0" applyProtection="0"/>
    <xf numFmtId="164" fontId="3" fillId="0" borderId="0" applyFont="0" applyFill="0" applyBorder="0" applyAlignment="0" applyProtection="0"/>
    <xf numFmtId="41" fontId="3" fillId="0" borderId="0" applyFont="0" applyFill="0" applyBorder="0" applyAlignment="0" applyProtection="0"/>
  </cellStyleXfs>
  <cellXfs count="275">
    <xf numFmtId="0" fontId="0" fillId="0" borderId="0" xfId="0"/>
    <xf numFmtId="0" fontId="0" fillId="0" borderId="0" xfId="0" applyAlignment="1">
      <alignment wrapText="1"/>
    </xf>
    <xf numFmtId="0" fontId="0" fillId="0" borderId="0" xfId="0" applyAlignment="1">
      <alignment vertical="center"/>
    </xf>
    <xf numFmtId="0" fontId="0" fillId="0" borderId="1" xfId="0" applyBorder="1" applyAlignment="1">
      <alignment vertical="center" wrapText="1"/>
    </xf>
    <xf numFmtId="0" fontId="0" fillId="0" borderId="1" xfId="0" applyBorder="1" applyAlignment="1">
      <alignment vertical="center"/>
    </xf>
    <xf numFmtId="0" fontId="0" fillId="0" borderId="2" xfId="0" applyBorder="1" applyAlignment="1">
      <alignment vertical="center" wrapText="1"/>
    </xf>
    <xf numFmtId="0" fontId="0" fillId="0" borderId="0" xfId="0" applyAlignment="1">
      <alignment horizontal="center"/>
    </xf>
    <xf numFmtId="0" fontId="0" fillId="0" borderId="0" xfId="0" pivotButton="1"/>
    <xf numFmtId="0" fontId="0" fillId="0" borderId="0" xfId="0" applyAlignment="1">
      <alignment horizontal="left"/>
    </xf>
    <xf numFmtId="10" fontId="0" fillId="0" borderId="0" xfId="0" applyNumberFormat="1"/>
    <xf numFmtId="0" fontId="1" fillId="0" borderId="0" xfId="0" applyFont="1" applyAlignment="1">
      <alignment horizontal="center"/>
    </xf>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0" fillId="9" borderId="1" xfId="0" applyFill="1" applyBorder="1" applyAlignment="1">
      <alignment wrapText="1"/>
    </xf>
    <xf numFmtId="1" fontId="0" fillId="0" borderId="0" xfId="1" applyNumberFormat="1" applyFont="1"/>
    <xf numFmtId="10" fontId="1" fillId="0" borderId="0" xfId="0" applyNumberFormat="1" applyFont="1" applyAlignment="1">
      <alignment horizontal="center" vertical="center"/>
    </xf>
    <xf numFmtId="9" fontId="1" fillId="0" borderId="0" xfId="0" applyNumberFormat="1" applyFont="1" applyAlignment="1">
      <alignment horizontal="center" vertical="center"/>
    </xf>
    <xf numFmtId="0" fontId="0" fillId="0" borderId="0" xfId="0" pivotButton="1" applyAlignment="1">
      <alignment vertical="center"/>
    </xf>
    <xf numFmtId="0" fontId="0" fillId="0" borderId="0" xfId="0" applyAlignment="1">
      <alignment horizontal="left" vertical="center"/>
    </xf>
    <xf numFmtId="0" fontId="0" fillId="0" borderId="6" xfId="0" applyBorder="1" applyAlignment="1">
      <alignment vertical="center"/>
    </xf>
    <xf numFmtId="1" fontId="6" fillId="0" borderId="7" xfId="1" applyNumberFormat="1" applyFont="1" applyBorder="1" applyAlignment="1">
      <alignment horizontal="center" vertical="center"/>
    </xf>
    <xf numFmtId="0" fontId="0" fillId="0" borderId="12" xfId="0" applyBorder="1" applyAlignment="1">
      <alignment vertical="center"/>
    </xf>
    <xf numFmtId="2" fontId="6" fillId="0" borderId="13" xfId="1" applyNumberFormat="1" applyFont="1" applyBorder="1" applyAlignment="1">
      <alignment horizontal="center" vertical="center"/>
    </xf>
    <xf numFmtId="0" fontId="0" fillId="9" borderId="8" xfId="0" applyFill="1" applyBorder="1" applyAlignment="1">
      <alignment horizontal="center"/>
    </xf>
    <xf numFmtId="0" fontId="0" fillId="9" borderId="10" xfId="0" applyFill="1" applyBorder="1" applyAlignment="1">
      <alignment horizontal="center"/>
    </xf>
    <xf numFmtId="0" fontId="0" fillId="9" borderId="21" xfId="0" applyFill="1" applyBorder="1" applyAlignment="1">
      <alignment wrapText="1"/>
    </xf>
    <xf numFmtId="0" fontId="0" fillId="2" borderId="16" xfId="0" applyFill="1" applyBorder="1" applyAlignment="1">
      <alignment vertical="center"/>
    </xf>
    <xf numFmtId="0" fontId="0" fillId="2" borderId="10" xfId="0" applyFill="1" applyBorder="1" applyAlignment="1">
      <alignment vertical="center"/>
    </xf>
    <xf numFmtId="0" fontId="0" fillId="9" borderId="16" xfId="0" applyFill="1" applyBorder="1" applyAlignment="1">
      <alignment horizontal="center"/>
    </xf>
    <xf numFmtId="0" fontId="0" fillId="9" borderId="3" xfId="0" applyFill="1" applyBorder="1" applyAlignment="1">
      <alignment wrapText="1"/>
    </xf>
    <xf numFmtId="0" fontId="1" fillId="10" borderId="14" xfId="0" applyFont="1" applyFill="1" applyBorder="1" applyAlignment="1">
      <alignment horizontal="center" vertical="center" wrapText="1"/>
    </xf>
    <xf numFmtId="0" fontId="1" fillId="10" borderId="22" xfId="0" applyFont="1" applyFill="1" applyBorder="1" applyAlignment="1">
      <alignment horizontal="center" vertical="center" wrapText="1"/>
    </xf>
    <xf numFmtId="0" fontId="7" fillId="12" borderId="5" xfId="0" applyFont="1" applyFill="1" applyBorder="1" applyAlignment="1">
      <alignment horizontal="center" vertical="center"/>
    </xf>
    <xf numFmtId="166" fontId="0" fillId="11" borderId="24" xfId="1" applyNumberFormat="1" applyFont="1" applyFill="1" applyBorder="1" applyAlignment="1">
      <alignment horizontal="center" vertical="center"/>
    </xf>
    <xf numFmtId="166" fontId="0" fillId="11" borderId="25" xfId="1" applyNumberFormat="1" applyFont="1" applyFill="1" applyBorder="1" applyAlignment="1">
      <alignment horizontal="center" vertical="center"/>
    </xf>
    <xf numFmtId="166" fontId="0" fillId="11" borderId="26" xfId="1" applyNumberFormat="1" applyFont="1" applyFill="1" applyBorder="1" applyAlignment="1">
      <alignment horizontal="center" vertical="center"/>
    </xf>
    <xf numFmtId="0" fontId="0" fillId="14" borderId="16" xfId="0" applyFill="1" applyBorder="1" applyAlignment="1">
      <alignment horizontal="center" vertical="center"/>
    </xf>
    <xf numFmtId="10" fontId="0" fillId="14" borderId="17" xfId="1" applyNumberFormat="1" applyFont="1" applyFill="1" applyBorder="1" applyAlignment="1">
      <alignment horizontal="center" vertical="center"/>
    </xf>
    <xf numFmtId="0" fontId="0" fillId="14" borderId="8" xfId="0" applyFill="1" applyBorder="1" applyAlignment="1">
      <alignment horizontal="center" vertical="center"/>
    </xf>
    <xf numFmtId="10" fontId="0" fillId="14" borderId="9" xfId="1" applyNumberFormat="1" applyFont="1" applyFill="1" applyBorder="1" applyAlignment="1">
      <alignment horizontal="center" vertical="center"/>
    </xf>
    <xf numFmtId="0" fontId="0" fillId="14" borderId="10" xfId="0" applyFill="1" applyBorder="1" applyAlignment="1">
      <alignment horizontal="center" vertical="center"/>
    </xf>
    <xf numFmtId="10" fontId="0" fillId="14" borderId="11" xfId="1" applyNumberFormat="1" applyFont="1" applyFill="1" applyBorder="1" applyAlignment="1">
      <alignment horizontal="center" vertical="center"/>
    </xf>
    <xf numFmtId="164" fontId="0" fillId="0" borderId="1" xfId="2" applyFont="1" applyBorder="1" applyAlignment="1">
      <alignment vertical="center" wrapText="1"/>
    </xf>
    <xf numFmtId="164" fontId="0" fillId="0" borderId="0" xfId="2" applyFont="1" applyAlignment="1">
      <alignment wrapText="1"/>
    </xf>
    <xf numFmtId="167" fontId="0" fillId="0" borderId="0" xfId="2" applyNumberFormat="1" applyFont="1" applyAlignment="1">
      <alignment vertical="center"/>
    </xf>
    <xf numFmtId="167" fontId="0" fillId="0" borderId="0" xfId="0" applyNumberFormat="1"/>
    <xf numFmtId="0" fontId="10" fillId="0" borderId="0" xfId="0" applyFont="1" applyAlignment="1">
      <alignment vertical="center"/>
    </xf>
    <xf numFmtId="41" fontId="10" fillId="0" borderId="34" xfId="3" applyFont="1" applyBorder="1" applyAlignment="1">
      <alignment vertical="center"/>
    </xf>
    <xf numFmtId="9" fontId="10" fillId="0" borderId="0" xfId="3" applyNumberFormat="1" applyFont="1" applyAlignment="1">
      <alignment vertical="center"/>
    </xf>
    <xf numFmtId="9" fontId="10" fillId="0" borderId="0" xfId="1" applyFont="1" applyAlignment="1">
      <alignment vertical="center"/>
    </xf>
    <xf numFmtId="41" fontId="10" fillId="0" borderId="31" xfId="3" applyFont="1" applyBorder="1" applyAlignment="1">
      <alignment vertical="center"/>
    </xf>
    <xf numFmtId="9" fontId="10" fillId="0" borderId="32" xfId="3" applyNumberFormat="1" applyFont="1" applyBorder="1" applyAlignment="1">
      <alignment vertical="center"/>
    </xf>
    <xf numFmtId="9" fontId="10" fillId="0" borderId="32" xfId="1" applyFont="1" applyBorder="1" applyAlignment="1">
      <alignment vertical="center"/>
    </xf>
    <xf numFmtId="9" fontId="10" fillId="0" borderId="32" xfId="1" applyFont="1" applyBorder="1" applyAlignment="1">
      <alignment horizontal="center" vertical="center"/>
    </xf>
    <xf numFmtId="9" fontId="10" fillId="0" borderId="33" xfId="1" applyFont="1" applyBorder="1" applyAlignment="1">
      <alignment horizontal="center" vertical="center"/>
    </xf>
    <xf numFmtId="41" fontId="10" fillId="0" borderId="0" xfId="3" applyFont="1" applyAlignment="1">
      <alignment vertical="center"/>
    </xf>
    <xf numFmtId="164" fontId="11" fillId="0" borderId="0" xfId="2" applyFont="1" applyBorder="1" applyAlignment="1">
      <alignment vertical="center" wrapText="1"/>
    </xf>
    <xf numFmtId="0" fontId="10" fillId="0" borderId="0" xfId="0" applyFont="1" applyAlignment="1">
      <alignment horizontal="center" vertical="center"/>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0" borderId="1" xfId="0" applyBorder="1" applyAlignment="1">
      <alignment horizontal="left" vertical="center" wrapText="1"/>
    </xf>
    <xf numFmtId="0" fontId="0" fillId="0" borderId="0" xfId="0" applyAlignment="1">
      <alignment vertical="center" wrapText="1"/>
    </xf>
    <xf numFmtId="164" fontId="0" fillId="0" borderId="2" xfId="2" applyFont="1" applyBorder="1" applyAlignment="1">
      <alignment vertical="center" wrapText="1"/>
    </xf>
    <xf numFmtId="0" fontId="2" fillId="0" borderId="0" xfId="0" applyFont="1" applyAlignment="1">
      <alignment horizontal="right" vertical="center" wrapText="1"/>
    </xf>
    <xf numFmtId="164" fontId="0" fillId="0" borderId="0" xfId="2" applyFont="1" applyAlignment="1">
      <alignment vertical="center" wrapText="1"/>
    </xf>
    <xf numFmtId="164" fontId="1" fillId="0" borderId="0" xfId="2" applyFont="1" applyAlignment="1">
      <alignment horizontal="center" vertical="center"/>
    </xf>
    <xf numFmtId="164" fontId="11" fillId="16" borderId="0" xfId="2" applyFont="1" applyFill="1" applyBorder="1" applyAlignment="1">
      <alignment horizontal="center" vertical="center"/>
    </xf>
    <xf numFmtId="0" fontId="1" fillId="8" borderId="0" xfId="0" applyFont="1" applyFill="1" applyAlignment="1">
      <alignment horizontal="center" vertical="center"/>
    </xf>
    <xf numFmtId="165" fontId="6" fillId="8" borderId="0" xfId="1" applyNumberFormat="1" applyFont="1" applyFill="1" applyAlignment="1">
      <alignment horizontal="center"/>
    </xf>
    <xf numFmtId="0" fontId="0" fillId="0" borderId="41" xfId="0" applyBorder="1" applyAlignment="1">
      <alignment vertical="center"/>
    </xf>
    <xf numFmtId="165" fontId="6" fillId="0" borderId="42" xfId="0" applyNumberFormat="1" applyFont="1" applyBorder="1" applyAlignment="1">
      <alignment horizontal="center" vertical="center"/>
    </xf>
    <xf numFmtId="9" fontId="6" fillId="0" borderId="42" xfId="1" applyFont="1" applyBorder="1" applyAlignment="1">
      <alignment horizontal="center" vertical="center"/>
    </xf>
    <xf numFmtId="0" fontId="13" fillId="0" borderId="41" xfId="0" applyFont="1" applyBorder="1" applyAlignment="1">
      <alignment vertical="center"/>
    </xf>
    <xf numFmtId="0" fontId="5" fillId="13" borderId="0" xfId="0" applyFont="1" applyFill="1" applyAlignment="1">
      <alignment horizontal="center" vertical="center"/>
    </xf>
    <xf numFmtId="1" fontId="0" fillId="0" borderId="0" xfId="1" applyNumberFormat="1" applyFont="1" applyAlignment="1">
      <alignment horizontal="center" vertical="center"/>
    </xf>
    <xf numFmtId="0" fontId="0" fillId="0" borderId="21" xfId="0" applyBorder="1" applyAlignment="1">
      <alignment vertical="center" wrapText="1"/>
    </xf>
    <xf numFmtId="164" fontId="0" fillId="0" borderId="21" xfId="2" applyFont="1" applyBorder="1" applyAlignment="1">
      <alignment vertical="center" wrapText="1"/>
    </xf>
    <xf numFmtId="0" fontId="0" fillId="0" borderId="21" xfId="0" applyBorder="1" applyAlignment="1">
      <alignment horizontal="center" vertical="center" wrapText="1"/>
    </xf>
    <xf numFmtId="164" fontId="0" fillId="0" borderId="3" xfId="2" applyFont="1" applyBorder="1" applyAlignment="1">
      <alignment vertical="center" wrapText="1"/>
    </xf>
    <xf numFmtId="0" fontId="1" fillId="10" borderId="23" xfId="0" applyFont="1" applyFill="1" applyBorder="1" applyAlignment="1">
      <alignment vertical="center"/>
    </xf>
    <xf numFmtId="0" fontId="5" fillId="13" borderId="14" xfId="0" applyFont="1" applyFill="1" applyBorder="1" applyAlignment="1">
      <alignment vertical="center"/>
    </xf>
    <xf numFmtId="0" fontId="1" fillId="10" borderId="18" xfId="0" applyFont="1" applyFill="1" applyBorder="1" applyAlignment="1">
      <alignment vertical="center"/>
    </xf>
    <xf numFmtId="0" fontId="15" fillId="10" borderId="20" xfId="0" applyFont="1" applyFill="1" applyBorder="1" applyAlignment="1">
      <alignment vertical="center"/>
    </xf>
    <xf numFmtId="0" fontId="16" fillId="13" borderId="15" xfId="0" applyFont="1" applyFill="1" applyBorder="1" applyAlignment="1">
      <alignment vertical="center"/>
    </xf>
    <xf numFmtId="9" fontId="0" fillId="0" borderId="0" xfId="0" applyNumberFormat="1" applyAlignment="1">
      <alignment horizontal="center" vertical="center"/>
    </xf>
    <xf numFmtId="164" fontId="0" fillId="0" borderId="3" xfId="2" applyFont="1" applyBorder="1" applyAlignment="1" applyProtection="1">
      <alignment horizontal="center" vertical="center"/>
      <protection locked="0"/>
    </xf>
    <xf numFmtId="164" fontId="0" fillId="0" borderId="1" xfId="2" applyFont="1" applyBorder="1" applyAlignment="1" applyProtection="1">
      <alignment horizontal="center" vertical="center"/>
      <protection locked="0"/>
    </xf>
    <xf numFmtId="164" fontId="0" fillId="0" borderId="21" xfId="2" applyFont="1" applyBorder="1" applyAlignment="1" applyProtection="1">
      <alignment horizontal="center" vertical="center"/>
      <protection locked="0"/>
    </xf>
    <xf numFmtId="0" fontId="0" fillId="0" borderId="16" xfId="0" applyBorder="1" applyAlignment="1" applyProtection="1">
      <alignment horizontal="center" vertical="center"/>
      <protection locked="0"/>
    </xf>
    <xf numFmtId="0" fontId="0" fillId="0" borderId="8" xfId="0" applyBorder="1" applyAlignment="1" applyProtection="1">
      <alignment horizontal="center" vertical="center"/>
      <protection locked="0"/>
    </xf>
    <xf numFmtId="0" fontId="0" fillId="0" borderId="10" xfId="0" applyBorder="1" applyAlignment="1" applyProtection="1">
      <alignment horizontal="center" vertical="center"/>
      <protection locked="0"/>
    </xf>
    <xf numFmtId="0" fontId="0" fillId="0" borderId="17" xfId="0"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5" fillId="13" borderId="14" xfId="0" applyFont="1" applyFill="1" applyBorder="1" applyAlignment="1">
      <alignment vertical="center" wrapText="1"/>
    </xf>
    <xf numFmtId="10" fontId="0" fillId="9" borderId="17" xfId="1" applyNumberFormat="1" applyFont="1" applyFill="1" applyBorder="1" applyAlignment="1" applyProtection="1">
      <alignment horizontal="center" vertical="center"/>
      <protection locked="0"/>
    </xf>
    <xf numFmtId="10" fontId="0" fillId="9" borderId="9" xfId="1" applyNumberFormat="1" applyFont="1" applyFill="1" applyBorder="1" applyAlignment="1" applyProtection="1">
      <alignment horizontal="center" vertical="center"/>
      <protection locked="0"/>
    </xf>
    <xf numFmtId="10" fontId="0" fillId="9" borderId="11" xfId="1" applyNumberFormat="1" applyFont="1" applyFill="1" applyBorder="1" applyAlignment="1" applyProtection="1">
      <alignment horizontal="center" vertical="center"/>
      <protection locked="0"/>
    </xf>
    <xf numFmtId="0" fontId="4" fillId="7" borderId="0" xfId="0" applyFont="1" applyFill="1" applyAlignment="1">
      <alignment vertical="center"/>
    </xf>
    <xf numFmtId="0" fontId="18" fillId="0" borderId="0" xfId="0" applyFont="1" applyAlignment="1">
      <alignment horizontal="center" vertical="center"/>
    </xf>
    <xf numFmtId="164" fontId="6" fillId="0" borderId="0" xfId="2" applyFont="1" applyBorder="1" applyAlignment="1" applyProtection="1">
      <alignment horizontal="center" vertical="center"/>
      <protection locked="0"/>
    </xf>
    <xf numFmtId="164" fontId="14" fillId="10" borderId="0" xfId="2" applyFont="1" applyFill="1" applyBorder="1" applyAlignment="1" applyProtection="1">
      <alignment horizontal="center" vertical="center"/>
      <protection locked="0"/>
    </xf>
    <xf numFmtId="0" fontId="0" fillId="10" borderId="0" xfId="0" applyFill="1" applyAlignment="1">
      <alignment horizontal="center" vertical="center"/>
    </xf>
    <xf numFmtId="0" fontId="0" fillId="10" borderId="0" xfId="0" applyFill="1" applyAlignment="1">
      <alignment vertical="center" wrapText="1"/>
    </xf>
    <xf numFmtId="0" fontId="0" fillId="10" borderId="0" xfId="1" applyNumberFormat="1" applyFont="1" applyFill="1" applyBorder="1" applyAlignment="1" applyProtection="1">
      <alignment horizontal="center" vertical="center"/>
      <protection locked="0"/>
    </xf>
    <xf numFmtId="0" fontId="0" fillId="17" borderId="0" xfId="0" applyFill="1" applyAlignment="1">
      <alignment horizontal="center" vertical="center"/>
    </xf>
    <xf numFmtId="0" fontId="0" fillId="17" borderId="0" xfId="0" applyFill="1" applyAlignment="1">
      <alignment vertical="center" wrapText="1"/>
    </xf>
    <xf numFmtId="0" fontId="0" fillId="17" borderId="0" xfId="1" applyNumberFormat="1" applyFont="1" applyFill="1" applyBorder="1" applyAlignment="1" applyProtection="1">
      <alignment horizontal="center" vertical="center"/>
      <protection locked="0"/>
    </xf>
    <xf numFmtId="168" fontId="1" fillId="8" borderId="0" xfId="2" applyNumberFormat="1" applyFont="1" applyFill="1" applyBorder="1" applyAlignment="1" applyProtection="1">
      <alignment horizontal="center" vertical="center"/>
      <protection locked="0"/>
    </xf>
    <xf numFmtId="164" fontId="14" fillId="17" borderId="0" xfId="2" applyFont="1" applyFill="1" applyBorder="1" applyAlignment="1" applyProtection="1">
      <alignment horizontal="center" vertical="center"/>
      <protection locked="0"/>
    </xf>
    <xf numFmtId="168" fontId="1" fillId="18" borderId="0" xfId="2" applyNumberFormat="1" applyFont="1" applyFill="1" applyBorder="1" applyAlignment="1" applyProtection="1">
      <alignment horizontal="center" vertical="center"/>
      <protection locked="0"/>
    </xf>
    <xf numFmtId="0" fontId="0" fillId="19" borderId="0" xfId="0" applyFill="1" applyAlignment="1">
      <alignment horizontal="center" vertical="center"/>
    </xf>
    <xf numFmtId="0" fontId="0" fillId="19" borderId="0" xfId="0" applyFill="1" applyAlignment="1">
      <alignment vertical="center" wrapText="1"/>
    </xf>
    <xf numFmtId="164" fontId="14" fillId="19" borderId="0" xfId="2" applyFont="1" applyFill="1" applyBorder="1" applyAlignment="1" applyProtection="1">
      <alignment horizontal="center" vertical="center"/>
      <protection locked="0"/>
    </xf>
    <xf numFmtId="0" fontId="0" fillId="19" borderId="0" xfId="1" applyNumberFormat="1" applyFont="1" applyFill="1" applyBorder="1" applyAlignment="1" applyProtection="1">
      <alignment horizontal="center" vertical="center"/>
      <protection locked="0"/>
    </xf>
    <xf numFmtId="1" fontId="2" fillId="6" borderId="14" xfId="1" applyNumberFormat="1" applyFont="1" applyFill="1" applyBorder="1" applyAlignment="1">
      <alignment vertical="center"/>
    </xf>
    <xf numFmtId="1" fontId="2" fillId="6" borderId="15" xfId="1" applyNumberFormat="1" applyFont="1" applyFill="1" applyBorder="1" applyAlignment="1">
      <alignment vertical="center"/>
    </xf>
    <xf numFmtId="0" fontId="2" fillId="6" borderId="18" xfId="0" applyFont="1" applyFill="1" applyBorder="1" applyAlignment="1">
      <alignment vertical="center"/>
    </xf>
    <xf numFmtId="0" fontId="2" fillId="6" borderId="20" xfId="0" applyFont="1" applyFill="1" applyBorder="1" applyAlignment="1">
      <alignment vertical="center"/>
    </xf>
    <xf numFmtId="1" fontId="2" fillId="6" borderId="18" xfId="1" applyNumberFormat="1" applyFont="1" applyFill="1" applyBorder="1" applyAlignment="1">
      <alignment vertical="center"/>
    </xf>
    <xf numFmtId="1" fontId="2" fillId="6" borderId="20" xfId="1" applyNumberFormat="1" applyFont="1" applyFill="1" applyBorder="1" applyAlignment="1">
      <alignment vertical="center"/>
    </xf>
    <xf numFmtId="0" fontId="1" fillId="0" borderId="0" xfId="0" applyFont="1"/>
    <xf numFmtId="0" fontId="29" fillId="0" borderId="0" xfId="0" applyFont="1"/>
    <xf numFmtId="0" fontId="12" fillId="2" borderId="55" xfId="0" applyFont="1" applyFill="1" applyBorder="1" applyAlignment="1">
      <alignment horizontal="center" vertical="center"/>
    </xf>
    <xf numFmtId="0" fontId="10" fillId="2" borderId="61" xfId="0" applyFont="1" applyFill="1" applyBorder="1" applyAlignment="1">
      <alignment vertical="center"/>
    </xf>
    <xf numFmtId="0" fontId="10" fillId="2" borderId="63" xfId="0" applyFont="1" applyFill="1" applyBorder="1" applyAlignment="1">
      <alignment vertical="center"/>
    </xf>
    <xf numFmtId="0" fontId="30" fillId="8" borderId="57" xfId="0" applyFont="1" applyFill="1" applyBorder="1" applyAlignment="1">
      <alignment vertical="center"/>
    </xf>
    <xf numFmtId="0" fontId="26" fillId="8" borderId="56" xfId="0" applyFont="1" applyFill="1" applyBorder="1" applyAlignment="1">
      <alignment vertical="center"/>
    </xf>
    <xf numFmtId="41" fontId="30" fillId="0" borderId="34" xfId="3" applyFont="1" applyBorder="1" applyAlignment="1">
      <alignment vertical="center"/>
    </xf>
    <xf numFmtId="9" fontId="30" fillId="0" borderId="0" xfId="3" applyNumberFormat="1" applyFont="1" applyAlignment="1">
      <alignment vertical="center"/>
    </xf>
    <xf numFmtId="9" fontId="30" fillId="0" borderId="0" xfId="1" applyFont="1" applyAlignment="1">
      <alignment vertical="center"/>
    </xf>
    <xf numFmtId="9" fontId="31" fillId="0" borderId="0" xfId="1" applyFont="1" applyAlignment="1">
      <alignment horizontal="right" vertical="top"/>
    </xf>
    <xf numFmtId="9" fontId="31" fillId="0" borderId="35" xfId="1" applyFont="1" applyBorder="1" applyAlignment="1">
      <alignment horizontal="right" vertical="top"/>
    </xf>
    <xf numFmtId="0" fontId="30" fillId="0" borderId="0" xfId="0" applyFont="1" applyAlignment="1">
      <alignment vertical="center"/>
    </xf>
    <xf numFmtId="0" fontId="30" fillId="0" borderId="0" xfId="0" applyFont="1"/>
    <xf numFmtId="0" fontId="26" fillId="8" borderId="58" xfId="0" applyFont="1" applyFill="1" applyBorder="1" applyAlignment="1">
      <alignment horizontal="center" vertical="center" wrapText="1"/>
    </xf>
    <xf numFmtId="0" fontId="27" fillId="2" borderId="1" xfId="0" applyFont="1" applyFill="1" applyBorder="1" applyAlignment="1">
      <alignment horizontal="left" vertical="center" wrapText="1"/>
    </xf>
    <xf numFmtId="0" fontId="27" fillId="2" borderId="21" xfId="0" applyFont="1" applyFill="1" applyBorder="1" applyAlignment="1">
      <alignment horizontal="left" vertical="center" wrapText="1"/>
    </xf>
    <xf numFmtId="0" fontId="10" fillId="0" borderId="0" xfId="0" applyFont="1" applyAlignment="1">
      <alignment vertical="center" wrapText="1"/>
    </xf>
    <xf numFmtId="0" fontId="18" fillId="0" borderId="49" xfId="0" applyFont="1" applyBorder="1" applyAlignment="1">
      <alignment horizontal="center" vertical="center"/>
    </xf>
    <xf numFmtId="0" fontId="18" fillId="0" borderId="50" xfId="0" applyFont="1" applyBorder="1" applyAlignment="1">
      <alignment horizontal="center" vertical="center"/>
    </xf>
    <xf numFmtId="168" fontId="1" fillId="7" borderId="0" xfId="2" applyNumberFormat="1" applyFont="1" applyFill="1" applyBorder="1" applyAlignment="1" applyProtection="1">
      <alignment horizontal="center" vertical="center"/>
      <protection locked="0"/>
    </xf>
    <xf numFmtId="0" fontId="14" fillId="0" borderId="0" xfId="0" applyFont="1" applyAlignment="1">
      <alignment horizontal="center" vertical="center" wrapText="1"/>
    </xf>
    <xf numFmtId="0" fontId="4" fillId="7" borderId="0" xfId="0" applyFont="1" applyFill="1" applyAlignment="1">
      <alignment horizontal="center" vertical="center"/>
    </xf>
    <xf numFmtId="0" fontId="4" fillId="18" borderId="0" xfId="0" applyFont="1" applyFill="1" applyAlignment="1">
      <alignment horizontal="center" vertical="center"/>
    </xf>
    <xf numFmtId="0" fontId="4" fillId="8" borderId="0" xfId="0" applyFont="1" applyFill="1" applyAlignment="1">
      <alignment horizontal="center" vertical="center"/>
    </xf>
    <xf numFmtId="9" fontId="10" fillId="0" borderId="0" xfId="1" applyFont="1" applyAlignment="1">
      <alignment horizontal="center" vertical="center"/>
    </xf>
    <xf numFmtId="9" fontId="10" fillId="0" borderId="35" xfId="1" applyFont="1" applyBorder="1" applyAlignment="1">
      <alignment horizontal="center" vertical="center"/>
    </xf>
    <xf numFmtId="0" fontId="35" fillId="9" borderId="46" xfId="0" applyFont="1" applyFill="1" applyBorder="1" applyAlignment="1">
      <alignment horizontal="left" vertical="center" wrapText="1"/>
    </xf>
    <xf numFmtId="0" fontId="35" fillId="9" borderId="47" xfId="0" applyFont="1" applyFill="1" applyBorder="1" applyAlignment="1">
      <alignment horizontal="left" vertical="center"/>
    </xf>
    <xf numFmtId="0" fontId="35" fillId="9" borderId="48" xfId="0" applyFont="1" applyFill="1" applyBorder="1" applyAlignment="1">
      <alignment horizontal="left" vertical="center"/>
    </xf>
    <xf numFmtId="0" fontId="35" fillId="9" borderId="49" xfId="0" applyFont="1" applyFill="1" applyBorder="1" applyAlignment="1">
      <alignment horizontal="left" vertical="center"/>
    </xf>
    <xf numFmtId="0" fontId="35" fillId="9" borderId="0" xfId="0" applyFont="1" applyFill="1" applyAlignment="1">
      <alignment horizontal="left" vertical="center"/>
    </xf>
    <xf numFmtId="0" fontId="35" fillId="9" borderId="50" xfId="0" applyFont="1" applyFill="1" applyBorder="1" applyAlignment="1">
      <alignment horizontal="left" vertical="center"/>
    </xf>
    <xf numFmtId="0" fontId="35" fillId="9" borderId="51" xfId="0" applyFont="1" applyFill="1" applyBorder="1" applyAlignment="1">
      <alignment horizontal="left" vertical="center"/>
    </xf>
    <xf numFmtId="0" fontId="35" fillId="9" borderId="52" xfId="0" applyFont="1" applyFill="1" applyBorder="1" applyAlignment="1">
      <alignment horizontal="left" vertical="center"/>
    </xf>
    <xf numFmtId="0" fontId="35" fillId="9" borderId="53" xfId="0" applyFont="1" applyFill="1" applyBorder="1" applyAlignment="1">
      <alignment horizontal="left" vertical="center"/>
    </xf>
    <xf numFmtId="0" fontId="35" fillId="9" borderId="46" xfId="0" applyFont="1" applyFill="1" applyBorder="1" applyAlignment="1">
      <alignment horizontal="justify" vertical="center" wrapText="1"/>
    </xf>
    <xf numFmtId="0" fontId="35" fillId="9" borderId="47" xfId="0" applyFont="1" applyFill="1" applyBorder="1" applyAlignment="1">
      <alignment horizontal="justify" vertical="center" wrapText="1"/>
    </xf>
    <xf numFmtId="0" fontId="35" fillId="9" borderId="48" xfId="0" applyFont="1" applyFill="1" applyBorder="1" applyAlignment="1">
      <alignment horizontal="justify" vertical="center" wrapText="1"/>
    </xf>
    <xf numFmtId="0" fontId="35" fillId="9" borderId="49" xfId="0" applyFont="1" applyFill="1" applyBorder="1" applyAlignment="1">
      <alignment horizontal="justify" vertical="center" wrapText="1"/>
    </xf>
    <xf numFmtId="0" fontId="35" fillId="9" borderId="0" xfId="0" applyFont="1" applyFill="1" applyAlignment="1">
      <alignment horizontal="justify" vertical="center" wrapText="1"/>
    </xf>
    <xf numFmtId="0" fontId="35" fillId="9" borderId="50" xfId="0" applyFont="1" applyFill="1" applyBorder="1" applyAlignment="1">
      <alignment horizontal="justify" vertical="center" wrapText="1"/>
    </xf>
    <xf numFmtId="0" fontId="35" fillId="9" borderId="51" xfId="0" applyFont="1" applyFill="1" applyBorder="1" applyAlignment="1">
      <alignment horizontal="justify" vertical="center" wrapText="1"/>
    </xf>
    <xf numFmtId="0" fontId="35" fillId="9" borderId="52" xfId="0" applyFont="1" applyFill="1" applyBorder="1" applyAlignment="1">
      <alignment horizontal="justify" vertical="center" wrapText="1"/>
    </xf>
    <xf numFmtId="0" fontId="35" fillId="9" borderId="53" xfId="0" applyFont="1" applyFill="1" applyBorder="1" applyAlignment="1">
      <alignment horizontal="justify" vertical="center" wrapText="1"/>
    </xf>
    <xf numFmtId="0" fontId="34" fillId="20" borderId="18" xfId="0" applyFont="1" applyFill="1" applyBorder="1" applyAlignment="1">
      <alignment horizontal="left" vertical="center"/>
    </xf>
    <xf numFmtId="0" fontId="34" fillId="20" borderId="19" xfId="0" applyFont="1" applyFill="1" applyBorder="1" applyAlignment="1">
      <alignment horizontal="left" vertical="center"/>
    </xf>
    <xf numFmtId="0" fontId="34" fillId="20" borderId="20" xfId="0" applyFont="1" applyFill="1" applyBorder="1" applyAlignment="1">
      <alignment horizontal="left" vertical="center"/>
    </xf>
    <xf numFmtId="0" fontId="34" fillId="19" borderId="18" xfId="0" applyFont="1" applyFill="1" applyBorder="1" applyAlignment="1">
      <alignment horizontal="left" vertical="center"/>
    </xf>
    <xf numFmtId="0" fontId="34" fillId="19" borderId="19" xfId="0" applyFont="1" applyFill="1" applyBorder="1" applyAlignment="1">
      <alignment horizontal="left" vertical="center"/>
    </xf>
    <xf numFmtId="0" fontId="34" fillId="19" borderId="20" xfId="0" applyFont="1" applyFill="1" applyBorder="1" applyAlignment="1">
      <alignment horizontal="left" vertical="center"/>
    </xf>
    <xf numFmtId="0" fontId="2" fillId="0" borderId="19" xfId="0" applyFont="1" applyBorder="1" applyAlignment="1" applyProtection="1">
      <alignment horizontal="center" vertical="center"/>
      <protection locked="0"/>
    </xf>
    <xf numFmtId="0" fontId="2" fillId="0" borderId="20" xfId="0" applyFont="1" applyBorder="1" applyAlignment="1" applyProtection="1">
      <alignment horizontal="center" vertical="center"/>
      <protection locked="0"/>
    </xf>
    <xf numFmtId="0" fontId="36" fillId="0" borderId="18" xfId="0" applyFont="1" applyBorder="1" applyAlignment="1" applyProtection="1">
      <alignment horizontal="center" vertical="center"/>
      <protection locked="0"/>
    </xf>
    <xf numFmtId="0" fontId="36" fillId="0" borderId="19" xfId="0" applyFont="1" applyBorder="1" applyAlignment="1" applyProtection="1">
      <alignment horizontal="center" vertical="center"/>
      <protection locked="0"/>
    </xf>
    <xf numFmtId="0" fontId="36" fillId="0" borderId="20" xfId="0" applyFont="1" applyBorder="1" applyAlignment="1" applyProtection="1">
      <alignment horizontal="center" vertical="center"/>
      <protection locked="0"/>
    </xf>
    <xf numFmtId="164" fontId="11" fillId="0" borderId="18" xfId="2" applyFont="1" applyFill="1" applyBorder="1" applyAlignment="1">
      <alignment horizontal="center" vertical="center" wrapText="1"/>
    </xf>
    <xf numFmtId="164" fontId="11" fillId="0" borderId="19" xfId="2" applyFont="1" applyFill="1" applyBorder="1" applyAlignment="1">
      <alignment horizontal="center" vertical="center" wrapText="1"/>
    </xf>
    <xf numFmtId="164" fontId="11" fillId="0" borderId="20" xfId="2" applyFont="1" applyFill="1" applyBorder="1" applyAlignment="1">
      <alignment horizontal="center" vertical="center" wrapText="1"/>
    </xf>
    <xf numFmtId="164" fontId="2" fillId="0" borderId="45" xfId="2" applyFont="1" applyBorder="1" applyAlignment="1">
      <alignment horizontal="center" vertical="center" wrapText="1"/>
    </xf>
    <xf numFmtId="164" fontId="2" fillId="0" borderId="44" xfId="2" applyFont="1" applyBorder="1" applyAlignment="1">
      <alignment horizontal="center" vertical="center" wrapText="1"/>
    </xf>
    <xf numFmtId="0" fontId="2" fillId="0" borderId="45" xfId="0" applyFont="1" applyBorder="1" applyAlignment="1">
      <alignment horizontal="center" vertical="center" wrapText="1"/>
    </xf>
    <xf numFmtId="0" fontId="2" fillId="0" borderId="44" xfId="0" applyFont="1" applyBorder="1" applyAlignment="1">
      <alignment horizontal="center" vertical="center" wrapText="1"/>
    </xf>
    <xf numFmtId="0" fontId="2" fillId="4" borderId="12" xfId="0" applyFont="1" applyFill="1" applyBorder="1" applyAlignment="1">
      <alignment horizontal="center" vertical="center" textRotation="90" wrapText="1"/>
    </xf>
    <xf numFmtId="0" fontId="2" fillId="4" borderId="43" xfId="0" applyFont="1" applyFill="1" applyBorder="1" applyAlignment="1">
      <alignment horizontal="center" vertical="center" textRotation="90" wrapText="1"/>
    </xf>
    <xf numFmtId="0" fontId="2" fillId="4" borderId="16" xfId="0" applyFont="1" applyFill="1" applyBorder="1" applyAlignment="1">
      <alignment horizontal="center" vertical="center" textRotation="90" wrapText="1"/>
    </xf>
    <xf numFmtId="0" fontId="2" fillId="5" borderId="8" xfId="0" applyFont="1" applyFill="1" applyBorder="1" applyAlignment="1">
      <alignment horizontal="center" vertical="center" textRotation="90" wrapText="1"/>
    </xf>
    <xf numFmtId="0" fontId="2" fillId="5" borderId="10" xfId="0" applyFont="1" applyFill="1" applyBorder="1" applyAlignment="1">
      <alignment horizontal="center" vertical="center" textRotation="90" wrapText="1"/>
    </xf>
    <xf numFmtId="0" fontId="11" fillId="20" borderId="14" xfId="0" applyFont="1" applyFill="1" applyBorder="1" applyAlignment="1">
      <alignment horizontal="center" vertical="center" wrapText="1"/>
    </xf>
    <xf numFmtId="0" fontId="11" fillId="20" borderId="22" xfId="0" applyFont="1" applyFill="1" applyBorder="1" applyAlignment="1">
      <alignment horizontal="center" vertical="center" wrapText="1"/>
    </xf>
    <xf numFmtId="0" fontId="11" fillId="20" borderId="15" xfId="0" applyFont="1" applyFill="1" applyBorder="1" applyAlignment="1">
      <alignment horizontal="center" vertical="center" wrapText="1"/>
    </xf>
    <xf numFmtId="0" fontId="21" fillId="0" borderId="46" xfId="0" applyFont="1" applyBorder="1" applyAlignment="1">
      <alignment horizontal="center" vertical="center"/>
    </xf>
    <xf numFmtId="0" fontId="21" fillId="0" borderId="47" xfId="0" applyFont="1" applyBorder="1" applyAlignment="1">
      <alignment horizontal="center" vertical="center"/>
    </xf>
    <xf numFmtId="0" fontId="21" fillId="0" borderId="48" xfId="0" applyFont="1" applyBorder="1" applyAlignment="1">
      <alignment horizontal="center" vertical="center"/>
    </xf>
    <xf numFmtId="0" fontId="17" fillId="0" borderId="49" xfId="0" applyFont="1" applyBorder="1" applyAlignment="1">
      <alignment horizontal="left" vertical="top" wrapText="1"/>
    </xf>
    <xf numFmtId="0" fontId="17" fillId="0" borderId="0" xfId="0" applyFont="1" applyAlignment="1">
      <alignment horizontal="left" vertical="top" wrapText="1"/>
    </xf>
    <xf numFmtId="0" fontId="17" fillId="0" borderId="50" xfId="0" applyFont="1" applyBorder="1" applyAlignment="1">
      <alignment horizontal="left" vertical="top" wrapText="1"/>
    </xf>
    <xf numFmtId="0" fontId="17" fillId="0" borderId="51" xfId="0" applyFont="1" applyBorder="1" applyAlignment="1">
      <alignment horizontal="left" vertical="top" wrapText="1"/>
    </xf>
    <xf numFmtId="0" fontId="17" fillId="0" borderId="52" xfId="0" applyFont="1" applyBorder="1" applyAlignment="1">
      <alignment horizontal="left" vertical="top" wrapText="1"/>
    </xf>
    <xf numFmtId="0" fontId="17" fillId="0" borderId="53" xfId="0" applyFont="1" applyBorder="1" applyAlignment="1">
      <alignment horizontal="left" vertical="top" wrapText="1"/>
    </xf>
    <xf numFmtId="0" fontId="2" fillId="3" borderId="8" xfId="0" applyFont="1" applyFill="1" applyBorder="1" applyAlignment="1">
      <alignment horizontal="center" vertical="center" textRotation="90" wrapText="1"/>
    </xf>
    <xf numFmtId="0" fontId="2" fillId="2" borderId="43" xfId="0" applyFont="1" applyFill="1" applyBorder="1" applyAlignment="1">
      <alignment horizontal="center" vertical="center" textRotation="90" wrapText="1"/>
    </xf>
    <xf numFmtId="0" fontId="2" fillId="2" borderId="16" xfId="0" applyFont="1" applyFill="1" applyBorder="1" applyAlignment="1">
      <alignment horizontal="center" vertical="center" textRotation="90" wrapText="1"/>
    </xf>
    <xf numFmtId="0" fontId="0" fillId="8" borderId="0" xfId="0" applyFill="1" applyAlignment="1">
      <alignment horizontal="center"/>
    </xf>
    <xf numFmtId="0" fontId="14" fillId="0" borderId="0" xfId="0" applyFont="1" applyAlignment="1">
      <alignment horizontal="center" vertical="center" wrapText="1"/>
    </xf>
    <xf numFmtId="0" fontId="11" fillId="19" borderId="14" xfId="0" applyFont="1" applyFill="1" applyBorder="1" applyAlignment="1">
      <alignment horizontal="center" vertical="center" wrapText="1"/>
    </xf>
    <xf numFmtId="0" fontId="11" fillId="19" borderId="22" xfId="0" applyFont="1" applyFill="1" applyBorder="1" applyAlignment="1">
      <alignment horizontal="center" vertical="center" wrapText="1"/>
    </xf>
    <xf numFmtId="0" fontId="11" fillId="19" borderId="15" xfId="0" applyFont="1" applyFill="1" applyBorder="1" applyAlignment="1">
      <alignment horizontal="center" vertical="center" wrapText="1"/>
    </xf>
    <xf numFmtId="0" fontId="4" fillId="8" borderId="14" xfId="0" applyFont="1" applyFill="1" applyBorder="1" applyAlignment="1">
      <alignment horizontal="center" vertical="center"/>
    </xf>
    <xf numFmtId="0" fontId="4" fillId="8" borderId="15" xfId="0" applyFont="1" applyFill="1" applyBorder="1" applyAlignment="1">
      <alignment horizontal="center" vertical="center"/>
    </xf>
    <xf numFmtId="0" fontId="4" fillId="7" borderId="18" xfId="0" applyFont="1" applyFill="1" applyBorder="1" applyAlignment="1">
      <alignment horizontal="center" vertical="center"/>
    </xf>
    <xf numFmtId="0" fontId="4" fillId="7" borderId="19" xfId="0" applyFont="1" applyFill="1" applyBorder="1" applyAlignment="1">
      <alignment horizontal="center" vertical="center"/>
    </xf>
    <xf numFmtId="0" fontId="4" fillId="7" borderId="20" xfId="0" applyFont="1" applyFill="1" applyBorder="1" applyAlignment="1">
      <alignment horizontal="center" vertical="center"/>
    </xf>
    <xf numFmtId="164" fontId="11" fillId="16" borderId="18" xfId="2" applyFont="1" applyFill="1" applyBorder="1" applyAlignment="1" applyProtection="1">
      <alignment horizontal="center" vertical="center"/>
      <protection locked="0"/>
    </xf>
    <xf numFmtId="164" fontId="11" fillId="16" borderId="19" xfId="2" applyFont="1" applyFill="1" applyBorder="1" applyAlignment="1" applyProtection="1">
      <alignment horizontal="center" vertical="center"/>
      <protection locked="0"/>
    </xf>
    <xf numFmtId="164" fontId="11" fillId="16" borderId="20" xfId="2" applyFont="1" applyFill="1" applyBorder="1" applyAlignment="1" applyProtection="1">
      <alignment horizontal="center" vertical="center"/>
      <protection locked="0"/>
    </xf>
    <xf numFmtId="0" fontId="18" fillId="0" borderId="14" xfId="0" applyFont="1" applyBorder="1" applyAlignment="1">
      <alignment horizontal="center" vertical="center"/>
    </xf>
    <xf numFmtId="0" fontId="18" fillId="0" borderId="15" xfId="0" applyFont="1" applyBorder="1" applyAlignment="1">
      <alignment horizontal="center" vertical="center"/>
    </xf>
    <xf numFmtId="0" fontId="13" fillId="0" borderId="16" xfId="0" applyFont="1" applyBorder="1" applyAlignment="1">
      <alignment horizontal="left" vertical="top" wrapText="1"/>
    </xf>
    <xf numFmtId="0" fontId="13" fillId="0" borderId="17" xfId="0" applyFont="1" applyBorder="1" applyAlignment="1">
      <alignment horizontal="left" vertical="top" wrapText="1"/>
    </xf>
    <xf numFmtId="0" fontId="13" fillId="0" borderId="8" xfId="0" applyFont="1" applyBorder="1" applyAlignment="1">
      <alignment horizontal="left" vertical="top" wrapText="1"/>
    </xf>
    <xf numFmtId="0" fontId="13" fillId="0" borderId="9" xfId="0" applyFont="1" applyBorder="1" applyAlignment="1">
      <alignment horizontal="left" vertical="top" wrapText="1"/>
    </xf>
    <xf numFmtId="0" fontId="13" fillId="0" borderId="10" xfId="0" applyFont="1" applyBorder="1" applyAlignment="1">
      <alignment horizontal="left" vertical="top" wrapText="1"/>
    </xf>
    <xf numFmtId="0" fontId="13" fillId="0" borderId="11" xfId="0" applyFont="1" applyBorder="1" applyAlignment="1">
      <alignment horizontal="left" vertical="top" wrapText="1"/>
    </xf>
    <xf numFmtId="0" fontId="28" fillId="8" borderId="0" xfId="0" applyFont="1" applyFill="1" applyAlignment="1">
      <alignment horizontal="center" vertical="center"/>
    </xf>
    <xf numFmtId="0" fontId="4" fillId="18" borderId="0" xfId="0" applyFont="1" applyFill="1" applyAlignment="1">
      <alignment horizontal="center" vertical="center"/>
    </xf>
    <xf numFmtId="0" fontId="13" fillId="0" borderId="0" xfId="0" applyFont="1" applyAlignment="1">
      <alignment horizontal="left" vertical="top" wrapText="1"/>
    </xf>
    <xf numFmtId="0" fontId="28" fillId="18" borderId="0" xfId="0" applyFont="1" applyFill="1" applyAlignment="1">
      <alignment horizontal="center" vertical="center"/>
    </xf>
    <xf numFmtId="0" fontId="13" fillId="0" borderId="49" xfId="0" applyFont="1" applyBorder="1" applyAlignment="1">
      <alignment horizontal="left" vertical="top" wrapText="1"/>
    </xf>
    <xf numFmtId="0" fontId="13" fillId="0" borderId="50" xfId="0" applyFont="1" applyBorder="1" applyAlignment="1">
      <alignment horizontal="left" vertical="top" wrapText="1"/>
    </xf>
    <xf numFmtId="0" fontId="13" fillId="0" borderId="51" xfId="0" applyFont="1" applyBorder="1" applyAlignment="1">
      <alignment horizontal="left" vertical="top" wrapText="1"/>
    </xf>
    <xf numFmtId="0" fontId="13" fillId="0" borderId="53" xfId="0" applyFont="1" applyBorder="1" applyAlignment="1">
      <alignment horizontal="left" vertical="top" wrapText="1"/>
    </xf>
    <xf numFmtId="0" fontId="4" fillId="8" borderId="0" xfId="0" applyFont="1" applyFill="1" applyAlignment="1">
      <alignment horizontal="center" vertical="center"/>
    </xf>
    <xf numFmtId="0" fontId="11" fillId="3" borderId="14" xfId="0" applyFont="1" applyFill="1" applyBorder="1" applyAlignment="1">
      <alignment horizontal="center" vertical="center" wrapText="1"/>
    </xf>
    <xf numFmtId="0" fontId="11" fillId="3" borderId="22" xfId="0" applyFont="1" applyFill="1" applyBorder="1" applyAlignment="1">
      <alignment horizontal="center" vertical="center" wrapText="1"/>
    </xf>
    <xf numFmtId="0" fontId="11" fillId="3" borderId="15" xfId="0" applyFont="1" applyFill="1" applyBorder="1" applyAlignment="1">
      <alignment horizontal="center" vertical="center" wrapText="1"/>
    </xf>
    <xf numFmtId="164" fontId="25" fillId="16" borderId="18" xfId="2" applyFont="1" applyFill="1" applyBorder="1" applyAlignment="1" applyProtection="1">
      <alignment horizontal="left" vertical="center" wrapText="1"/>
      <protection locked="0"/>
    </xf>
    <xf numFmtId="164" fontId="25" fillId="16" borderId="19" xfId="2" applyFont="1" applyFill="1" applyBorder="1" applyAlignment="1" applyProtection="1">
      <alignment horizontal="left" vertical="center" wrapText="1"/>
      <protection locked="0"/>
    </xf>
    <xf numFmtId="0" fontId="18" fillId="0" borderId="46" xfId="0" applyFont="1" applyBorder="1" applyAlignment="1">
      <alignment horizontal="center" vertical="center"/>
    </xf>
    <xf numFmtId="0" fontId="18" fillId="0" borderId="48" xfId="0" applyFont="1" applyBorder="1" applyAlignment="1">
      <alignment horizontal="center" vertical="center"/>
    </xf>
    <xf numFmtId="0" fontId="4" fillId="7" borderId="0" xfId="0" applyFont="1" applyFill="1" applyAlignment="1">
      <alignment horizontal="center" vertical="center"/>
    </xf>
    <xf numFmtId="0" fontId="28" fillId="7" borderId="0" xfId="0" applyFont="1" applyFill="1" applyAlignment="1">
      <alignment horizontal="center" vertical="center"/>
    </xf>
    <xf numFmtId="0" fontId="0" fillId="0" borderId="0" xfId="0" applyAlignment="1">
      <alignment horizontal="center"/>
    </xf>
    <xf numFmtId="1" fontId="33" fillId="2" borderId="54" xfId="0" applyNumberFormat="1" applyFont="1" applyFill="1" applyBorder="1" applyAlignment="1">
      <alignment horizontal="left" vertical="center" wrapText="1"/>
    </xf>
    <xf numFmtId="1" fontId="33" fillId="2" borderId="62" xfId="0" applyNumberFormat="1" applyFont="1" applyFill="1" applyBorder="1" applyAlignment="1">
      <alignment horizontal="left" vertical="center" wrapText="1"/>
    </xf>
    <xf numFmtId="0" fontId="13" fillId="0" borderId="1" xfId="0" applyFont="1" applyBorder="1" applyAlignment="1" applyProtection="1">
      <alignment horizontal="left" vertical="center" wrapText="1"/>
      <protection locked="0"/>
    </xf>
    <xf numFmtId="0" fontId="11" fillId="8" borderId="36" xfId="0" applyFont="1" applyFill="1" applyBorder="1" applyAlignment="1">
      <alignment horizontal="center" vertical="center"/>
    </xf>
    <xf numFmtId="0" fontId="11" fillId="8" borderId="37" xfId="0" applyFont="1" applyFill="1" applyBorder="1" applyAlignment="1">
      <alignment horizontal="center" vertical="center"/>
    </xf>
    <xf numFmtId="0" fontId="11" fillId="8" borderId="38" xfId="0" applyFont="1" applyFill="1" applyBorder="1" applyAlignment="1">
      <alignment horizontal="center" vertical="center"/>
    </xf>
    <xf numFmtId="9" fontId="10" fillId="0" borderId="0" xfId="1" applyFont="1" applyAlignment="1">
      <alignment horizontal="center" vertical="center"/>
    </xf>
    <xf numFmtId="9" fontId="10" fillId="0" borderId="35" xfId="1" applyFont="1" applyBorder="1" applyAlignment="1">
      <alignment horizontal="center" vertical="center"/>
    </xf>
    <xf numFmtId="9" fontId="32" fillId="0" borderId="39" xfId="0" applyNumberFormat="1" applyFont="1" applyBorder="1" applyAlignment="1">
      <alignment horizontal="center" vertical="center"/>
    </xf>
    <xf numFmtId="9" fontId="32" fillId="0" borderId="40" xfId="0" applyNumberFormat="1" applyFont="1" applyBorder="1" applyAlignment="1">
      <alignment horizontal="center" vertical="center"/>
    </xf>
    <xf numFmtId="0" fontId="32" fillId="0" borderId="0" xfId="0" applyFont="1" applyAlignment="1">
      <alignment horizontal="center" vertical="center"/>
    </xf>
    <xf numFmtId="0" fontId="32" fillId="0" borderId="35" xfId="0" applyFont="1" applyBorder="1" applyAlignment="1">
      <alignment horizontal="center" vertical="center"/>
    </xf>
    <xf numFmtId="0" fontId="2" fillId="0" borderId="0" xfId="0" applyFont="1" applyAlignment="1">
      <alignment horizontal="center" vertical="center"/>
    </xf>
    <xf numFmtId="0" fontId="9" fillId="15" borderId="27" xfId="0" applyFont="1" applyFill="1" applyBorder="1" applyAlignment="1">
      <alignment horizontal="center" vertical="center"/>
    </xf>
    <xf numFmtId="0" fontId="9" fillId="15" borderId="28" xfId="0" applyFont="1" applyFill="1" applyBorder="1" applyAlignment="1">
      <alignment horizontal="center" vertical="center"/>
    </xf>
    <xf numFmtId="0" fontId="9" fillId="15" borderId="29" xfId="0" applyFont="1" applyFill="1" applyBorder="1" applyAlignment="1">
      <alignment horizontal="center" vertical="center"/>
    </xf>
    <xf numFmtId="0" fontId="9" fillId="15" borderId="30" xfId="0" applyFont="1" applyFill="1" applyBorder="1" applyAlignment="1">
      <alignment horizontal="center" vertical="center"/>
    </xf>
    <xf numFmtId="164" fontId="37" fillId="0" borderId="0" xfId="0" applyNumberFormat="1" applyFont="1" applyAlignment="1">
      <alignment horizontal="center" vertical="center"/>
    </xf>
    <xf numFmtId="9" fontId="37" fillId="0" borderId="0" xfId="0" applyNumberFormat="1" applyFont="1" applyAlignment="1">
      <alignment horizontal="center" vertical="center"/>
    </xf>
    <xf numFmtId="9" fontId="37" fillId="0" borderId="35" xfId="0" applyNumberFormat="1" applyFont="1" applyBorder="1" applyAlignment="1">
      <alignment horizontal="center" vertical="center"/>
    </xf>
    <xf numFmtId="0" fontId="26" fillId="8" borderId="59" xfId="0" applyFont="1" applyFill="1" applyBorder="1" applyAlignment="1">
      <alignment horizontal="center" vertical="center"/>
    </xf>
    <xf numFmtId="0" fontId="26" fillId="8" borderId="60" xfId="0" applyFont="1" applyFill="1" applyBorder="1" applyAlignment="1">
      <alignment horizontal="center" vertical="center"/>
    </xf>
    <xf numFmtId="0" fontId="26" fillId="0" borderId="0" xfId="0" applyFont="1" applyAlignment="1">
      <alignment horizontal="center" vertical="center"/>
    </xf>
    <xf numFmtId="0" fontId="1" fillId="0" borderId="0" xfId="0" applyFont="1" applyAlignment="1">
      <alignment horizontal="center"/>
    </xf>
    <xf numFmtId="0" fontId="8" fillId="13" borderId="0" xfId="0" applyFont="1" applyFill="1" applyAlignment="1">
      <alignment horizontal="center" vertical="center"/>
    </xf>
    <xf numFmtId="0" fontId="8" fillId="13" borderId="0" xfId="0" applyFont="1" applyFill="1" applyAlignment="1">
      <alignment horizontal="center"/>
    </xf>
    <xf numFmtId="0" fontId="0" fillId="0" borderId="0" xfId="0" applyNumberFormat="1"/>
    <xf numFmtId="10" fontId="0" fillId="0" borderId="0" xfId="0" applyNumberFormat="1" applyFont="1"/>
  </cellXfs>
  <cellStyles count="4">
    <cellStyle name="Millares [0]" xfId="3" builtinId="6"/>
    <cellStyle name="Moneda [0]" xfId="2" builtinId="7"/>
    <cellStyle name="Normal" xfId="0" builtinId="0"/>
    <cellStyle name="Porcentaje" xfId="1" builtinId="5"/>
  </cellStyles>
  <dxfs count="17">
    <dxf>
      <alignment vertical="center"/>
    </dxf>
    <dxf>
      <alignment vertical="center"/>
    </dxf>
    <dxf>
      <alignment vertical="center"/>
    </dxf>
    <dxf>
      <alignment vertical="center"/>
    </dxf>
    <dxf>
      <alignment vertical="center"/>
    </dxf>
    <dxf>
      <alignment vertical="center"/>
    </dxf>
    <dxf>
      <numFmt numFmtId="13" formatCode="0%"/>
    </dxf>
    <dxf>
      <alignment horizontal="center"/>
    </dxf>
    <dxf>
      <alignment vertical="center"/>
    </dxf>
    <dxf>
      <alignment vertical="center"/>
    </dxf>
    <dxf>
      <alignment horizontal="center"/>
    </dxf>
    <dxf>
      <font>
        <b val="0"/>
      </font>
    </dxf>
    <dxf>
      <font>
        <b val="0"/>
      </font>
    </dxf>
    <dxf>
      <font>
        <b val="0"/>
      </font>
    </dxf>
    <dxf>
      <font>
        <b val="0"/>
      </font>
    </dxf>
    <dxf>
      <font>
        <b val="0"/>
      </font>
    </dxf>
    <dxf>
      <font>
        <b val="0"/>
      </font>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2.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hartsheet" Target="chartsheets/sheet1.xml"/><Relationship Id="rId12" Type="http://schemas.openxmlformats.org/officeDocument/2006/relationships/pivotCacheDefinition" Target="pivotCache/pivotCacheDefinition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7.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hartsheet" Target="chartsheets/sheet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ja-JP" sz="1400" b="1" i="0" u="none" strike="noStrike" kern="1200" spc="0" baseline="0">
                <a:solidFill>
                  <a:schemeClr val="tx1">
                    <a:lumMod val="65000"/>
                    <a:lumOff val="35000"/>
                  </a:schemeClr>
                </a:solidFill>
                <a:latin typeface="+mn-lt"/>
                <a:ea typeface="+mn-ea"/>
                <a:cs typeface="+mn-cs"/>
              </a:defRPr>
            </a:pPr>
            <a:r>
              <a:rPr lang="es-DO" altLang="ja-JP" b="1"/>
              <a:t>Evaluacion</a:t>
            </a:r>
            <a:r>
              <a:rPr lang="es-DO" altLang="ja-JP" b="1" baseline="0"/>
              <a:t> Producto OVOP</a:t>
            </a:r>
            <a:endParaRPr lang="ja-JP" altLang="es-DO" b="1"/>
          </a:p>
        </c:rich>
      </c:tx>
      <c:overlay val="0"/>
      <c:spPr>
        <a:noFill/>
        <a:ln>
          <a:noFill/>
        </a:ln>
        <a:effectLst/>
      </c:spPr>
      <c:txPr>
        <a:bodyPr rot="0" spcFirstLastPara="1" vertOverflow="ellipsis" vert="horz" wrap="square" anchor="ctr" anchorCtr="1"/>
        <a:lstStyle/>
        <a:p>
          <a:pPr>
            <a:defRPr lang="ja-JP" sz="1400" b="1" i="0" u="none" strike="noStrike" kern="1200" spc="0" baseline="0">
              <a:solidFill>
                <a:schemeClr val="tx1">
                  <a:lumMod val="65000"/>
                  <a:lumOff val="35000"/>
                </a:schemeClr>
              </a:solidFill>
              <a:latin typeface="+mn-lt"/>
              <a:ea typeface="+mn-ea"/>
              <a:cs typeface="+mn-cs"/>
            </a:defRPr>
          </a:pPr>
          <a:endParaRPr lang="ja-JP" altLang="es-DO"/>
        </a:p>
      </c:txPr>
    </c:title>
    <c:autoTitleDeleted val="0"/>
    <c:plotArea>
      <c:layout/>
      <c:radarChart>
        <c:radarStyle val="marker"/>
        <c:varyColors val="0"/>
        <c:ser>
          <c:idx val="0"/>
          <c:order val="0"/>
          <c:spPr>
            <a:ln w="28575" cap="rnd">
              <a:solidFill>
                <a:schemeClr val="accent1"/>
              </a:solidFill>
              <a:round/>
            </a:ln>
            <a:effectLst/>
          </c:spPr>
          <c:marker>
            <c:symbol val="none"/>
          </c:marker>
          <c:val>
            <c:numRef>
              <c:f>'RESUMEN CV'!$E$7:$E$12</c:f>
              <c:numCache>
                <c:formatCode>General</c:formatCode>
                <c:ptCount val="6"/>
                <c:pt idx="0">
                  <c:v>4</c:v>
                </c:pt>
                <c:pt idx="1">
                  <c:v>1</c:v>
                </c:pt>
                <c:pt idx="2">
                  <c:v>4</c:v>
                </c:pt>
                <c:pt idx="3">
                  <c:v>2</c:v>
                </c:pt>
                <c:pt idx="4">
                  <c:v>4</c:v>
                </c:pt>
                <c:pt idx="5">
                  <c:v>3</c:v>
                </c:pt>
              </c:numCache>
            </c:numRef>
          </c:val>
          <c:extLst>
            <c:ext xmlns:c16="http://schemas.microsoft.com/office/drawing/2014/chart" uri="{C3380CC4-5D6E-409C-BE32-E72D297353CC}">
              <c16:uniqueId val="{00000000-72E4-4B87-90BF-5EAE7E0D24BC}"/>
            </c:ext>
          </c:extLst>
        </c:ser>
        <c:dLbls>
          <c:showLegendKey val="0"/>
          <c:showVal val="0"/>
          <c:showCatName val="0"/>
          <c:showSerName val="0"/>
          <c:showPercent val="0"/>
          <c:showBubbleSize val="0"/>
        </c:dLbls>
        <c:axId val="1398713456"/>
        <c:axId val="1398710192"/>
      </c:radarChart>
      <c:catAx>
        <c:axId val="139871345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1" i="0" u="none" strike="noStrike" kern="1200" baseline="0">
                <a:solidFill>
                  <a:srgbClr val="FF0000"/>
                </a:solidFill>
                <a:latin typeface="+mn-lt"/>
                <a:ea typeface="+mn-ea"/>
                <a:cs typeface="+mn-cs"/>
              </a:defRPr>
            </a:pPr>
            <a:endParaRPr lang="es-CO"/>
          </a:p>
        </c:txPr>
        <c:crossAx val="1398710192"/>
        <c:crosses val="autoZero"/>
        <c:auto val="1"/>
        <c:lblAlgn val="ctr"/>
        <c:lblOffset val="100"/>
        <c:noMultiLvlLbl val="0"/>
      </c:catAx>
      <c:valAx>
        <c:axId val="1398710192"/>
        <c:scaling>
          <c:orientation val="minMax"/>
          <c:max val="4"/>
        </c:scaling>
        <c:delete val="0"/>
        <c:axPos val="l"/>
        <c:majorGridlines>
          <c:spPr>
            <a:ln w="9525" cap="flat" cmpd="sng" algn="ctr">
              <a:solidFill>
                <a:schemeClr val="accent1">
                  <a:lumMod val="40000"/>
                  <a:lumOff val="60000"/>
                </a:schemeClr>
              </a:solidFill>
              <a:round/>
            </a:ln>
            <a:effectLst/>
          </c:spPr>
        </c:majorGridlines>
        <c:numFmt formatCode="General" sourceLinked="1"/>
        <c:majorTickMark val="none"/>
        <c:minorTickMark val="none"/>
        <c:tickLblPos val="nextTo"/>
        <c:spPr>
          <a:noFill/>
          <a:ln>
            <a:solidFill>
              <a:schemeClr val="accent1">
                <a:lumMod val="40000"/>
                <a:lumOff val="60000"/>
              </a:schemeClr>
            </a:solid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es-CO"/>
          </a:p>
        </c:txPr>
        <c:crossAx val="1398713456"/>
        <c:crosses val="autoZero"/>
        <c:crossBetween val="between"/>
        <c:minorUnit val="1"/>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[Ficha_de_analisis_cadena_de_valor_para_instructores_OVOP.xlsx]DINÁMICAS!COMPOSICIÓN ECONÓMICA</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Composción Económica del Territorio por Sectores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CO"/>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DINÁMICAS!$F$3</c:f>
              <c:strCache>
                <c:ptCount val="1"/>
                <c:pt idx="0">
                  <c:v>Suma de % Económico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DINÁMICAS!$E$4:$E$21</c:f>
              <c:strCache>
                <c:ptCount val="17"/>
                <c:pt idx="0">
                  <c:v>Actividades artísticas, de entretenimiento y recreación</c:v>
                </c:pt>
                <c:pt idx="1">
                  <c:v>Actividades de atención de la salud humana y de asistencia social</c:v>
                </c:pt>
                <c:pt idx="2">
                  <c:v>Actividades de servicios administrativos y de apoyo</c:v>
                </c:pt>
                <c:pt idx="3">
                  <c:v>Actividades financieras y de seguros</c:v>
                </c:pt>
                <c:pt idx="4">
                  <c:v>Actividades inmobiliarias</c:v>
                </c:pt>
                <c:pt idx="5">
                  <c:v>Actividades profesionales, científicas y técnicas </c:v>
                </c:pt>
                <c:pt idx="6">
                  <c:v>Agricultura, ganadería, caza, silvicultura y pesca </c:v>
                </c:pt>
                <c:pt idx="7">
                  <c:v>Alojamiento y servicios de comida</c:v>
                </c:pt>
                <c:pt idx="8">
                  <c:v>Comercio al por mayor y al por menor; reparación de vehículos automotores y motocicletas</c:v>
                </c:pt>
                <c:pt idx="9">
                  <c:v>Construcción</c:v>
                </c:pt>
                <c:pt idx="10">
                  <c:v>Distribución de agua; evacuación y tratamiento de aguas residuales, gestión de desechos y actividades de saneamiento ambiental </c:v>
                </c:pt>
                <c:pt idx="11">
                  <c:v>Educación</c:v>
                </c:pt>
                <c:pt idx="12">
                  <c:v>Industrias Manufactureras</c:v>
                </c:pt>
                <c:pt idx="13">
                  <c:v>Información y comunicaciones</c:v>
                </c:pt>
                <c:pt idx="14">
                  <c:v>Otras actividades de servicios</c:v>
                </c:pt>
                <c:pt idx="15">
                  <c:v>Suministro de electricidad, gas, vapor y aire acondicionado</c:v>
                </c:pt>
                <c:pt idx="16">
                  <c:v>Transporte y almacenamiento</c:v>
                </c:pt>
              </c:strCache>
            </c:strRef>
          </c:cat>
          <c:val>
            <c:numRef>
              <c:f>DINÁMICAS!$F$4:$F$21</c:f>
              <c:numCache>
                <c:formatCode>0%</c:formatCode>
                <c:ptCount val="17"/>
                <c:pt idx="0">
                  <c:v>3.8632294735408022E-3</c:v>
                </c:pt>
                <c:pt idx="1">
                  <c:v>5.8867428961037612E-4</c:v>
                </c:pt>
                <c:pt idx="2">
                  <c:v>9.2812040647107452E-4</c:v>
                </c:pt>
                <c:pt idx="3">
                  <c:v>1.1335725146308078E-3</c:v>
                </c:pt>
                <c:pt idx="4">
                  <c:v>2.4966017061159871E-3</c:v>
                </c:pt>
                <c:pt idx="5">
                  <c:v>2.0164797633120166E-2</c:v>
                </c:pt>
                <c:pt idx="6">
                  <c:v>3.9638420708932604E-3</c:v>
                </c:pt>
                <c:pt idx="7">
                  <c:v>0.33986464605021727</c:v>
                </c:pt>
                <c:pt idx="8">
                  <c:v>0.32074272804309251</c:v>
                </c:pt>
                <c:pt idx="9">
                  <c:v>0.17926834291461419</c:v>
                </c:pt>
                <c:pt idx="10">
                  <c:v>3.933964904701259E-4</c:v>
                </c:pt>
                <c:pt idx="11">
                  <c:v>1.2656187360969199E-4</c:v>
                </c:pt>
                <c:pt idx="12">
                  <c:v>6.0360546419616863E-2</c:v>
                </c:pt>
                <c:pt idx="13">
                  <c:v>1.1574819087964915E-2</c:v>
                </c:pt>
                <c:pt idx="14">
                  <c:v>5.2182641733429696E-3</c:v>
                </c:pt>
                <c:pt idx="15">
                  <c:v>1.6199919822040573E-3</c:v>
                </c:pt>
                <c:pt idx="16">
                  <c:v>4.7691864870484921E-2</c:v>
                </c:pt>
              </c:numCache>
            </c:numRef>
          </c:val>
          <c:extLst>
            <c:ext xmlns:c16="http://schemas.microsoft.com/office/drawing/2014/chart" uri="{C3380CC4-5D6E-409C-BE32-E72D297353CC}">
              <c16:uniqueId val="{00000004-DEF9-4A0D-B6AE-56AAE59DBB96}"/>
            </c:ext>
          </c:extLst>
        </c:ser>
        <c:ser>
          <c:idx val="1"/>
          <c:order val="1"/>
          <c:tx>
            <c:strRef>
              <c:f>DINÁMICAS!$G$3</c:f>
              <c:strCache>
                <c:ptCount val="1"/>
                <c:pt idx="0">
                  <c:v>Suma de % Empresas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DINÁMICAS!$E$4:$E$21</c:f>
              <c:strCache>
                <c:ptCount val="17"/>
                <c:pt idx="0">
                  <c:v>Actividades artísticas, de entretenimiento y recreación</c:v>
                </c:pt>
                <c:pt idx="1">
                  <c:v>Actividades de atención de la salud humana y de asistencia social</c:v>
                </c:pt>
                <c:pt idx="2">
                  <c:v>Actividades de servicios administrativos y de apoyo</c:v>
                </c:pt>
                <c:pt idx="3">
                  <c:v>Actividades financieras y de seguros</c:v>
                </c:pt>
                <c:pt idx="4">
                  <c:v>Actividades inmobiliarias</c:v>
                </c:pt>
                <c:pt idx="5">
                  <c:v>Actividades profesionales, científicas y técnicas </c:v>
                </c:pt>
                <c:pt idx="6">
                  <c:v>Agricultura, ganadería, caza, silvicultura y pesca </c:v>
                </c:pt>
                <c:pt idx="7">
                  <c:v>Alojamiento y servicios de comida</c:v>
                </c:pt>
                <c:pt idx="8">
                  <c:v>Comercio al por mayor y al por menor; reparación de vehículos automotores y motocicletas</c:v>
                </c:pt>
                <c:pt idx="9">
                  <c:v>Construcción</c:v>
                </c:pt>
                <c:pt idx="10">
                  <c:v>Distribución de agua; evacuación y tratamiento de aguas residuales, gestión de desechos y actividades de saneamiento ambiental </c:v>
                </c:pt>
                <c:pt idx="11">
                  <c:v>Educación</c:v>
                </c:pt>
                <c:pt idx="12">
                  <c:v>Industrias Manufactureras</c:v>
                </c:pt>
                <c:pt idx="13">
                  <c:v>Información y comunicaciones</c:v>
                </c:pt>
                <c:pt idx="14">
                  <c:v>Otras actividades de servicios</c:v>
                </c:pt>
                <c:pt idx="15">
                  <c:v>Suministro de electricidad, gas, vapor y aire acondicionado</c:v>
                </c:pt>
                <c:pt idx="16">
                  <c:v>Transporte y almacenamiento</c:v>
                </c:pt>
              </c:strCache>
            </c:strRef>
          </c:cat>
          <c:val>
            <c:numRef>
              <c:f>DINÁMICAS!$G$4:$G$21</c:f>
              <c:numCache>
                <c:formatCode>0%</c:formatCode>
                <c:ptCount val="17"/>
                <c:pt idx="0">
                  <c:v>1.7711171662125342E-2</c:v>
                </c:pt>
                <c:pt idx="1">
                  <c:v>2.7247956403269754E-3</c:v>
                </c:pt>
                <c:pt idx="2">
                  <c:v>1.226158038147139E-2</c:v>
                </c:pt>
                <c:pt idx="3">
                  <c:v>8.1743869209809257E-3</c:v>
                </c:pt>
                <c:pt idx="4">
                  <c:v>9.5367847411444145E-3</c:v>
                </c:pt>
                <c:pt idx="5">
                  <c:v>1.6348773841961851E-2</c:v>
                </c:pt>
                <c:pt idx="6">
                  <c:v>1.3623978201634877E-2</c:v>
                </c:pt>
                <c:pt idx="7">
                  <c:v>0.1989100817438692</c:v>
                </c:pt>
                <c:pt idx="8">
                  <c:v>0.51362397820163486</c:v>
                </c:pt>
                <c:pt idx="9">
                  <c:v>3.4059945504087197E-2</c:v>
                </c:pt>
                <c:pt idx="10">
                  <c:v>4.0871934604904629E-3</c:v>
                </c:pt>
                <c:pt idx="11">
                  <c:v>2.7247956403269754E-3</c:v>
                </c:pt>
                <c:pt idx="12">
                  <c:v>7.0844686648501368E-2</c:v>
                </c:pt>
                <c:pt idx="13">
                  <c:v>1.3623978201634877E-2</c:v>
                </c:pt>
                <c:pt idx="14">
                  <c:v>5.858310626702997E-2</c:v>
                </c:pt>
                <c:pt idx="15">
                  <c:v>1.3623978201634877E-3</c:v>
                </c:pt>
                <c:pt idx="16">
                  <c:v>2.1798365122615803E-2</c:v>
                </c:pt>
              </c:numCache>
            </c:numRef>
          </c:val>
          <c:extLst>
            <c:ext xmlns:c16="http://schemas.microsoft.com/office/drawing/2014/chart" uri="{C3380CC4-5D6E-409C-BE32-E72D297353CC}">
              <c16:uniqueId val="{00000005-DEF9-4A0D-B6AE-56AAE59DBB96}"/>
            </c:ext>
          </c:extLst>
        </c:ser>
        <c:dLbls>
          <c:showLegendKey val="0"/>
          <c:showVal val="0"/>
          <c:showCatName val="0"/>
          <c:showSerName val="0"/>
          <c:showPercent val="0"/>
          <c:showBubbleSize val="0"/>
        </c:dLbls>
        <c:gapWidth val="150"/>
        <c:shape val="box"/>
        <c:axId val="400596048"/>
        <c:axId val="400596704"/>
        <c:axId val="0"/>
      </c:bar3DChart>
      <c:catAx>
        <c:axId val="400596048"/>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s-CO"/>
                  <a:t>sectores de la economía según ciiu</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s-CO"/>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O"/>
          </a:p>
        </c:txPr>
        <c:crossAx val="400596704"/>
        <c:crosses val="autoZero"/>
        <c:auto val="1"/>
        <c:lblAlgn val="ctr"/>
        <c:lblOffset val="100"/>
        <c:noMultiLvlLbl val="0"/>
      </c:catAx>
      <c:valAx>
        <c:axId val="400596704"/>
        <c:scaling>
          <c:orientation val="minMax"/>
        </c:scaling>
        <c:delete val="0"/>
        <c:axPos val="b"/>
        <c:majorGridlines>
          <c:spPr>
            <a:ln w="9525" cap="flat" cmpd="sng" algn="ctr">
              <a:solidFill>
                <a:schemeClr val="dk1">
                  <a:lumMod val="50000"/>
                  <a:lumOff val="5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s-CO"/>
                  <a:t>Porcentaje</a:t>
                </a:r>
                <a:r>
                  <a:rPr lang="es-CO" baseline="0"/>
                  <a:t> de participación de cada sector</a:t>
                </a:r>
                <a:endParaRPr lang="es-CO"/>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s-CO"/>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O"/>
          </a:p>
        </c:txPr>
        <c:crossAx val="400596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CO"/>
    </a:p>
  </c:txPr>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[Ficha_de_analisis_cadena_de_valor_para_instructores_OVOP.xlsx]DINÁMICAS!TablaDinámica1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s-CO"/>
              <a:t>SECTORES IMPACTADOS POR LA CADENA DE VALOR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CO"/>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rgbClr val="FFFFFF">
                <a:alpha val="25098"/>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CO"/>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CO"/>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6193330906396368E-2"/>
          <c:y val="0.18628669900068606"/>
          <c:w val="0.76659533502111576"/>
          <c:h val="0.67854383683247477"/>
        </c:manualLayout>
      </c:layout>
      <c:pie3DChart>
        <c:varyColors val="1"/>
        <c:ser>
          <c:idx val="0"/>
          <c:order val="0"/>
          <c:tx>
            <c:strRef>
              <c:f>DINÁMICAS!$B$3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D781-4B7C-86D6-035DB9B4341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D781-4B7C-86D6-035DB9B4341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D781-4B7C-86D6-035DB9B4341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D781-4B7C-86D6-035DB9B4341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D781-4B7C-86D6-035DB9B43419}"/>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D781-4B7C-86D6-035DB9B43419}"/>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D781-4B7C-86D6-035DB9B43419}"/>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D781-4B7C-86D6-035DB9B43419}"/>
              </c:ext>
            </c:extLst>
          </c:dPt>
          <c:dLbls>
            <c:spPr>
              <a:solidFill>
                <a:srgbClr val="FFFFFF">
                  <a:alpha val="25098"/>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CO"/>
              </a:p>
            </c:txPr>
            <c:dLblPos val="bestFit"/>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DINÁMICAS!$A$4:$A$9</c:f>
              <c:strCache>
                <c:ptCount val="5"/>
                <c:pt idx="0">
                  <c:v>Actividades de servicios administrativos y de apoyo</c:v>
                </c:pt>
                <c:pt idx="1">
                  <c:v>Actividades profesionales, científicas y técnicas </c:v>
                </c:pt>
                <c:pt idx="2">
                  <c:v>Agricultura, ganadería, caza, silvicultura y pesca </c:v>
                </c:pt>
                <c:pt idx="3">
                  <c:v>Comercio al por mayor y al por menor; reparación de vehículos automotores y motocicletas</c:v>
                </c:pt>
                <c:pt idx="4">
                  <c:v>Industrias Manufactureras</c:v>
                </c:pt>
              </c:strCache>
            </c:strRef>
          </c:cat>
          <c:val>
            <c:numRef>
              <c:f>DINÁMICAS!$B$4:$B$9</c:f>
              <c:numCache>
                <c:formatCode>0.00%</c:formatCode>
                <c:ptCount val="5"/>
                <c:pt idx="0">
                  <c:v>0.10142954390742001</c:v>
                </c:pt>
                <c:pt idx="1">
                  <c:v>0.20422055820285909</c:v>
                </c:pt>
                <c:pt idx="2">
                  <c:v>0.17018379850238258</c:v>
                </c:pt>
                <c:pt idx="3">
                  <c:v>0.21783526208304968</c:v>
                </c:pt>
                <c:pt idx="4">
                  <c:v>0.30633083730428862</c:v>
                </c:pt>
              </c:numCache>
            </c:numRef>
          </c:val>
          <c:extLst>
            <c:ext xmlns:c16="http://schemas.microsoft.com/office/drawing/2014/chart" uri="{C3380CC4-5D6E-409C-BE32-E72D297353CC}">
              <c16:uniqueId val="{00000010-D781-4B7C-86D6-035DB9B43419}"/>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CO"/>
    </a:p>
  </c:txPr>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[Ficha_de_analisis_cadena_de_valor_para_instructores_OVOP.xlsx]DINÁMICAS!TablaDinámica2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Distribución</a:t>
            </a:r>
            <a:r>
              <a:rPr lang="en-US" baseline="0"/>
              <a:t> de los Beneficios Directos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FFFFFF">
                <a:alpha val="30196"/>
              </a:srgb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s-CO"/>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pivotFmt>
      <c:pivotFmt>
        <c:idx val="4"/>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O"/>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pivotFmt>
      <c:pivotFmt>
        <c:idx val="10"/>
      </c:pivotFmt>
      <c:pivotFmt>
        <c:idx val="11"/>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O"/>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O"/>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DINÁMICAS!$B$29</c:f>
              <c:strCache>
                <c:ptCount val="1"/>
                <c:pt idx="0">
                  <c:v>Suma de Costo</c:v>
                </c:pt>
              </c:strCache>
            </c:strRef>
          </c:tx>
          <c:explosion val="6"/>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577-49ED-B5BE-6C6C38A3AD9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577-49ED-B5BE-6C6C38A3AD9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577-49ED-B5BE-6C6C38A3AD9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577-49ED-B5BE-6C6C38A3AD9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577-49ED-B5BE-6C6C38A3AD9B}"/>
              </c:ext>
            </c:extLst>
          </c:dPt>
          <c:dLbls>
            <c:spPr>
              <a:solidFill>
                <a:srgbClr val="FFFFFF">
                  <a:alpha val="30196"/>
                </a:srgb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s-CO"/>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DINÁMICAS!$A$30:$A$34</c:f>
              <c:strCache>
                <c:ptCount val="4"/>
                <c:pt idx="0">
                  <c:v>Artesano Independiente</c:v>
                </c:pt>
                <c:pt idx="1">
                  <c:v>Guaduero</c:v>
                </c:pt>
                <c:pt idx="2">
                  <c:v>Tienda de insumos</c:v>
                </c:pt>
                <c:pt idx="3">
                  <c:v>Trabajador de tienda artesanal</c:v>
                </c:pt>
              </c:strCache>
            </c:strRef>
          </c:cat>
          <c:val>
            <c:numRef>
              <c:f>DINÁMICAS!$B$30:$B$34</c:f>
              <c:numCache>
                <c:formatCode>General</c:formatCode>
                <c:ptCount val="4"/>
                <c:pt idx="0">
                  <c:v>14000</c:v>
                </c:pt>
                <c:pt idx="1">
                  <c:v>5000</c:v>
                </c:pt>
                <c:pt idx="2">
                  <c:v>4000</c:v>
                </c:pt>
                <c:pt idx="3">
                  <c:v>6380</c:v>
                </c:pt>
              </c:numCache>
            </c:numRef>
          </c:val>
          <c:extLst>
            <c:ext xmlns:c16="http://schemas.microsoft.com/office/drawing/2014/chart" uri="{C3380CC4-5D6E-409C-BE32-E72D297353CC}">
              <c16:uniqueId val="{0000000A-A577-49ED-B5BE-6C6C38A3AD9B}"/>
            </c:ext>
          </c:extLst>
        </c:ser>
        <c:ser>
          <c:idx val="1"/>
          <c:order val="1"/>
          <c:tx>
            <c:strRef>
              <c:f>DINÁMICAS!$C$29</c:f>
              <c:strCache>
                <c:ptCount val="1"/>
                <c:pt idx="0">
                  <c:v>Suma de Beneficiarios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A577-49ED-B5BE-6C6C38A3AD9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A577-49ED-B5BE-6C6C38A3AD9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A577-49ED-B5BE-6C6C38A3AD9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2-A577-49ED-B5BE-6C6C38A3AD9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4-A577-49ED-B5BE-6C6C38A3AD9B}"/>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O"/>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DINÁMICAS!$A$30:$A$34</c:f>
              <c:strCache>
                <c:ptCount val="4"/>
                <c:pt idx="0">
                  <c:v>Artesano Independiente</c:v>
                </c:pt>
                <c:pt idx="1">
                  <c:v>Guaduero</c:v>
                </c:pt>
                <c:pt idx="2">
                  <c:v>Tienda de insumos</c:v>
                </c:pt>
                <c:pt idx="3">
                  <c:v>Trabajador de tienda artesanal</c:v>
                </c:pt>
              </c:strCache>
            </c:strRef>
          </c:cat>
          <c:val>
            <c:numRef>
              <c:f>DINÁMICAS!$C$30:$C$34</c:f>
              <c:numCache>
                <c:formatCode>General</c:formatCode>
                <c:ptCount val="4"/>
                <c:pt idx="0">
                  <c:v>7</c:v>
                </c:pt>
                <c:pt idx="1">
                  <c:v>2</c:v>
                </c:pt>
                <c:pt idx="2">
                  <c:v>1</c:v>
                </c:pt>
                <c:pt idx="3">
                  <c:v>4</c:v>
                </c:pt>
              </c:numCache>
            </c:numRef>
          </c:val>
          <c:extLst>
            <c:ext xmlns:c16="http://schemas.microsoft.com/office/drawing/2014/chart" uri="{C3380CC4-5D6E-409C-BE32-E72D297353CC}">
              <c16:uniqueId val="{00000015-A577-49ED-B5BE-6C6C38A3AD9B}"/>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CO"/>
    </a:p>
  </c:txPr>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600-000000000000}">
  <sheetPr codeName="Gráfico8"/>
  <sheetViews>
    <sheetView zoomScale="63"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codeName="Gráfico9"/>
  <sheetViews>
    <sheetView zoomScale="63" workbookViewId="0" zoomToFit="1"/>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800-000000000000}">
  <sheetPr codeName="Gráfico10"/>
  <sheetViews>
    <sheetView zoomScale="63"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47623</xdr:colOff>
      <xdr:row>9</xdr:row>
      <xdr:rowOff>54766</xdr:rowOff>
    </xdr:from>
    <xdr:to>
      <xdr:col>0</xdr:col>
      <xdr:colOff>419764</xdr:colOff>
      <xdr:row>9</xdr:row>
      <xdr:rowOff>407191</xdr:rowOff>
    </xdr:to>
    <xdr:sp macro="" textlink="">
      <xdr:nvSpPr>
        <xdr:cNvPr id="2" name="円/楕円 4">
          <a:extLst>
            <a:ext uri="{FF2B5EF4-FFF2-40B4-BE49-F238E27FC236}">
              <a16:creationId xmlns:a16="http://schemas.microsoft.com/office/drawing/2014/main" id="{D7F16986-07FC-4CBA-B55C-A49441E1DBA7}"/>
            </a:ext>
          </a:extLst>
        </xdr:cNvPr>
        <xdr:cNvSpPr/>
      </xdr:nvSpPr>
      <xdr:spPr>
        <a:xfrm>
          <a:off x="47623" y="4569616"/>
          <a:ext cx="372141" cy="352425"/>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s-DO" sz="2400" b="1">
              <a:latin typeface="Century Gothic" panose="020B0502020202020204" pitchFamily="34" charset="0"/>
            </a:rPr>
            <a:t>4</a:t>
          </a:r>
        </a:p>
      </xdr:txBody>
    </xdr:sp>
    <xdr:clientData/>
  </xdr:twoCellAnchor>
  <xdr:twoCellAnchor>
    <xdr:from>
      <xdr:col>0</xdr:col>
      <xdr:colOff>38098</xdr:colOff>
      <xdr:row>10</xdr:row>
      <xdr:rowOff>54766</xdr:rowOff>
    </xdr:from>
    <xdr:to>
      <xdr:col>0</xdr:col>
      <xdr:colOff>410239</xdr:colOff>
      <xdr:row>10</xdr:row>
      <xdr:rowOff>407191</xdr:rowOff>
    </xdr:to>
    <xdr:sp macro="" textlink="">
      <xdr:nvSpPr>
        <xdr:cNvPr id="3" name="円/楕円 5">
          <a:extLst>
            <a:ext uri="{FF2B5EF4-FFF2-40B4-BE49-F238E27FC236}">
              <a16:creationId xmlns:a16="http://schemas.microsoft.com/office/drawing/2014/main" id="{E40F7EC3-F675-44D3-8151-145F1D1F9C7A}"/>
            </a:ext>
          </a:extLst>
        </xdr:cNvPr>
        <xdr:cNvSpPr/>
      </xdr:nvSpPr>
      <xdr:spPr>
        <a:xfrm>
          <a:off x="38098" y="5007766"/>
          <a:ext cx="372141" cy="352425"/>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s-DO" sz="2400" b="1">
              <a:latin typeface="Century Gothic" panose="020B0502020202020204" pitchFamily="34" charset="0"/>
            </a:rPr>
            <a:t>5</a:t>
          </a:r>
        </a:p>
      </xdr:txBody>
    </xdr:sp>
    <xdr:clientData/>
  </xdr:twoCellAnchor>
  <xdr:twoCellAnchor>
    <xdr:from>
      <xdr:col>0</xdr:col>
      <xdr:colOff>47623</xdr:colOff>
      <xdr:row>11</xdr:row>
      <xdr:rowOff>33334</xdr:rowOff>
    </xdr:from>
    <xdr:to>
      <xdr:col>0</xdr:col>
      <xdr:colOff>419764</xdr:colOff>
      <xdr:row>11</xdr:row>
      <xdr:rowOff>404809</xdr:rowOff>
    </xdr:to>
    <xdr:sp macro="" textlink="">
      <xdr:nvSpPr>
        <xdr:cNvPr id="4" name="円/楕円 6">
          <a:extLst>
            <a:ext uri="{FF2B5EF4-FFF2-40B4-BE49-F238E27FC236}">
              <a16:creationId xmlns:a16="http://schemas.microsoft.com/office/drawing/2014/main" id="{E6B7DBF5-5339-412B-800E-A8A480F1B4C8}"/>
            </a:ext>
          </a:extLst>
        </xdr:cNvPr>
        <xdr:cNvSpPr/>
      </xdr:nvSpPr>
      <xdr:spPr>
        <a:xfrm>
          <a:off x="47623" y="5424484"/>
          <a:ext cx="372141" cy="371475"/>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s-DO" sz="2400" b="1">
              <a:latin typeface="Century Gothic" panose="020B0502020202020204" pitchFamily="34" charset="0"/>
            </a:rPr>
            <a:t>6</a:t>
          </a:r>
        </a:p>
      </xdr:txBody>
    </xdr:sp>
    <xdr:clientData/>
  </xdr:twoCellAnchor>
  <xdr:twoCellAnchor>
    <xdr:from>
      <xdr:col>0</xdr:col>
      <xdr:colOff>59533</xdr:colOff>
      <xdr:row>6</xdr:row>
      <xdr:rowOff>38100</xdr:rowOff>
    </xdr:from>
    <xdr:to>
      <xdr:col>0</xdr:col>
      <xdr:colOff>409575</xdr:colOff>
      <xdr:row>6</xdr:row>
      <xdr:rowOff>409575</xdr:rowOff>
    </xdr:to>
    <xdr:sp macro="" textlink="">
      <xdr:nvSpPr>
        <xdr:cNvPr id="5" name="円/楕円 7">
          <a:extLst>
            <a:ext uri="{FF2B5EF4-FFF2-40B4-BE49-F238E27FC236}">
              <a16:creationId xmlns:a16="http://schemas.microsoft.com/office/drawing/2014/main" id="{3D02C3B1-67D1-4B75-94ED-422288FF5AA9}"/>
            </a:ext>
          </a:extLst>
        </xdr:cNvPr>
        <xdr:cNvSpPr/>
      </xdr:nvSpPr>
      <xdr:spPr>
        <a:xfrm>
          <a:off x="59533" y="3238500"/>
          <a:ext cx="350042" cy="371475"/>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s-DO" sz="2400" b="1">
              <a:latin typeface="Century Gothic" panose="020B0502020202020204" pitchFamily="34" charset="0"/>
            </a:rPr>
            <a:t>1</a:t>
          </a:r>
        </a:p>
      </xdr:txBody>
    </xdr:sp>
    <xdr:clientData/>
  </xdr:twoCellAnchor>
  <xdr:twoCellAnchor>
    <xdr:from>
      <xdr:col>0</xdr:col>
      <xdr:colOff>47625</xdr:colOff>
      <xdr:row>7</xdr:row>
      <xdr:rowOff>30956</xdr:rowOff>
    </xdr:from>
    <xdr:to>
      <xdr:col>0</xdr:col>
      <xdr:colOff>428625</xdr:colOff>
      <xdr:row>7</xdr:row>
      <xdr:rowOff>411956</xdr:rowOff>
    </xdr:to>
    <xdr:sp macro="" textlink="">
      <xdr:nvSpPr>
        <xdr:cNvPr id="6" name="円/楕円 8">
          <a:extLst>
            <a:ext uri="{FF2B5EF4-FFF2-40B4-BE49-F238E27FC236}">
              <a16:creationId xmlns:a16="http://schemas.microsoft.com/office/drawing/2014/main" id="{EFC91A00-DE60-4B21-95E9-AF84EB82CFC6}"/>
            </a:ext>
          </a:extLst>
        </xdr:cNvPr>
        <xdr:cNvSpPr/>
      </xdr:nvSpPr>
      <xdr:spPr>
        <a:xfrm>
          <a:off x="47625" y="3669506"/>
          <a:ext cx="381000" cy="381000"/>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s-DO" sz="2400" b="1">
              <a:latin typeface="Century Gothic" panose="020B0502020202020204" pitchFamily="34" charset="0"/>
            </a:rPr>
            <a:t>2</a:t>
          </a:r>
        </a:p>
      </xdr:txBody>
    </xdr:sp>
    <xdr:clientData/>
  </xdr:twoCellAnchor>
  <xdr:twoCellAnchor>
    <xdr:from>
      <xdr:col>0</xdr:col>
      <xdr:colOff>47624</xdr:colOff>
      <xdr:row>8</xdr:row>
      <xdr:rowOff>30953</xdr:rowOff>
    </xdr:from>
    <xdr:to>
      <xdr:col>0</xdr:col>
      <xdr:colOff>419765</xdr:colOff>
      <xdr:row>8</xdr:row>
      <xdr:rowOff>411953</xdr:rowOff>
    </xdr:to>
    <xdr:sp macro="" textlink="">
      <xdr:nvSpPr>
        <xdr:cNvPr id="7" name="円/楕円 9">
          <a:extLst>
            <a:ext uri="{FF2B5EF4-FFF2-40B4-BE49-F238E27FC236}">
              <a16:creationId xmlns:a16="http://schemas.microsoft.com/office/drawing/2014/main" id="{72AA227B-BA05-4EFF-9BE0-62C65E98CFD8}"/>
            </a:ext>
          </a:extLst>
        </xdr:cNvPr>
        <xdr:cNvSpPr/>
      </xdr:nvSpPr>
      <xdr:spPr>
        <a:xfrm>
          <a:off x="47624" y="4107653"/>
          <a:ext cx="372141" cy="381000"/>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s-DO" sz="2400" b="1">
              <a:latin typeface="Century Gothic" panose="020B0502020202020204" pitchFamily="34" charset="0"/>
            </a:rPr>
            <a:t>3</a:t>
          </a:r>
        </a:p>
      </xdr:txBody>
    </xdr:sp>
    <xdr:clientData/>
  </xdr:twoCellAnchor>
  <xdr:twoCellAnchor>
    <xdr:from>
      <xdr:col>5</xdr:col>
      <xdr:colOff>37270</xdr:colOff>
      <xdr:row>5</xdr:row>
      <xdr:rowOff>15737</xdr:rowOff>
    </xdr:from>
    <xdr:to>
      <xdr:col>9</xdr:col>
      <xdr:colOff>701639</xdr:colOff>
      <xdr:row>11</xdr:row>
      <xdr:rowOff>399118</xdr:rowOff>
    </xdr:to>
    <xdr:graphicFrame macro="">
      <xdr:nvGraphicFramePr>
        <xdr:cNvPr id="8" name="グラフ 10">
          <a:extLst>
            <a:ext uri="{FF2B5EF4-FFF2-40B4-BE49-F238E27FC236}">
              <a16:creationId xmlns:a16="http://schemas.microsoft.com/office/drawing/2014/main" id="{F9B1FAA2-3C4F-4E31-BCA7-50FFC242C6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299729</xdr:colOff>
      <xdr:row>5</xdr:row>
      <xdr:rowOff>356152</xdr:rowOff>
    </xdr:from>
    <xdr:to>
      <xdr:col>7</xdr:col>
      <xdr:colOff>472109</xdr:colOff>
      <xdr:row>6</xdr:row>
      <xdr:rowOff>100109</xdr:rowOff>
    </xdr:to>
    <xdr:sp macro="" textlink="">
      <xdr:nvSpPr>
        <xdr:cNvPr id="10" name="円/楕円 7">
          <a:extLst>
            <a:ext uri="{FF2B5EF4-FFF2-40B4-BE49-F238E27FC236}">
              <a16:creationId xmlns:a16="http://schemas.microsoft.com/office/drawing/2014/main" id="{9E4EABC8-8B14-4653-836D-D6E824E75DFC}"/>
            </a:ext>
          </a:extLst>
        </xdr:cNvPr>
        <xdr:cNvSpPr/>
      </xdr:nvSpPr>
      <xdr:spPr>
        <a:xfrm>
          <a:off x="8747990" y="1780761"/>
          <a:ext cx="172380" cy="182935"/>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s-DO" sz="1400" b="1">
              <a:latin typeface="Century Gothic" panose="020B0502020202020204" pitchFamily="34" charset="0"/>
            </a:rPr>
            <a:t>1</a:t>
          </a:r>
        </a:p>
      </xdr:txBody>
    </xdr:sp>
    <xdr:clientData/>
  </xdr:twoCellAnchor>
  <xdr:twoCellAnchor>
    <xdr:from>
      <xdr:col>9</xdr:col>
      <xdr:colOff>29716</xdr:colOff>
      <xdr:row>7</xdr:row>
      <xdr:rowOff>168966</xdr:rowOff>
    </xdr:from>
    <xdr:to>
      <xdr:col>9</xdr:col>
      <xdr:colOff>202096</xdr:colOff>
      <xdr:row>7</xdr:row>
      <xdr:rowOff>351901</xdr:rowOff>
    </xdr:to>
    <xdr:sp macro="" textlink="">
      <xdr:nvSpPr>
        <xdr:cNvPr id="11" name="円/楕円 7">
          <a:extLst>
            <a:ext uri="{FF2B5EF4-FFF2-40B4-BE49-F238E27FC236}">
              <a16:creationId xmlns:a16="http://schemas.microsoft.com/office/drawing/2014/main" id="{E6C190AD-7650-40A2-907C-074DD2D97DC9}"/>
            </a:ext>
          </a:extLst>
        </xdr:cNvPr>
        <xdr:cNvSpPr/>
      </xdr:nvSpPr>
      <xdr:spPr>
        <a:xfrm>
          <a:off x="10001977" y="2579205"/>
          <a:ext cx="172380" cy="182935"/>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s-DO" sz="1400" b="1">
              <a:latin typeface="Century Gothic" panose="020B0502020202020204" pitchFamily="34" charset="0"/>
            </a:rPr>
            <a:t>2</a:t>
          </a:r>
        </a:p>
      </xdr:txBody>
    </xdr:sp>
    <xdr:clientData/>
  </xdr:twoCellAnchor>
  <xdr:twoCellAnchor>
    <xdr:from>
      <xdr:col>9</xdr:col>
      <xdr:colOff>49594</xdr:colOff>
      <xdr:row>9</xdr:row>
      <xdr:rowOff>528431</xdr:rowOff>
    </xdr:from>
    <xdr:to>
      <xdr:col>9</xdr:col>
      <xdr:colOff>221974</xdr:colOff>
      <xdr:row>10</xdr:row>
      <xdr:rowOff>164713</xdr:rowOff>
    </xdr:to>
    <xdr:sp macro="" textlink="">
      <xdr:nvSpPr>
        <xdr:cNvPr id="12" name="円/楕円 7">
          <a:extLst>
            <a:ext uri="{FF2B5EF4-FFF2-40B4-BE49-F238E27FC236}">
              <a16:creationId xmlns:a16="http://schemas.microsoft.com/office/drawing/2014/main" id="{E775B3EE-7661-47FC-9BC8-13BE75BCA2F7}"/>
            </a:ext>
          </a:extLst>
        </xdr:cNvPr>
        <xdr:cNvSpPr/>
      </xdr:nvSpPr>
      <xdr:spPr>
        <a:xfrm>
          <a:off x="10021855" y="4031974"/>
          <a:ext cx="172380" cy="182935"/>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s-DO" sz="1400" b="1">
              <a:latin typeface="Century Gothic" panose="020B0502020202020204" pitchFamily="34" charset="0"/>
            </a:rPr>
            <a:t>3</a:t>
          </a:r>
        </a:p>
      </xdr:txBody>
    </xdr:sp>
    <xdr:clientData/>
  </xdr:twoCellAnchor>
  <xdr:twoCellAnchor>
    <xdr:from>
      <xdr:col>7</xdr:col>
      <xdr:colOff>276537</xdr:colOff>
      <xdr:row>11</xdr:row>
      <xdr:rowOff>192157</xdr:rowOff>
    </xdr:from>
    <xdr:to>
      <xdr:col>7</xdr:col>
      <xdr:colOff>448917</xdr:colOff>
      <xdr:row>11</xdr:row>
      <xdr:rowOff>375092</xdr:rowOff>
    </xdr:to>
    <xdr:sp macro="" textlink="">
      <xdr:nvSpPr>
        <xdr:cNvPr id="13" name="円/楕円 7">
          <a:extLst>
            <a:ext uri="{FF2B5EF4-FFF2-40B4-BE49-F238E27FC236}">
              <a16:creationId xmlns:a16="http://schemas.microsoft.com/office/drawing/2014/main" id="{9D4BE0F5-EAAE-4438-AB26-2ACB18DC4197}"/>
            </a:ext>
          </a:extLst>
        </xdr:cNvPr>
        <xdr:cNvSpPr/>
      </xdr:nvSpPr>
      <xdr:spPr>
        <a:xfrm>
          <a:off x="8724798" y="4789005"/>
          <a:ext cx="172380" cy="182935"/>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s-DO" sz="1400" b="1">
              <a:latin typeface="Century Gothic" panose="020B0502020202020204" pitchFamily="34" charset="0"/>
            </a:rPr>
            <a:t>4</a:t>
          </a:r>
        </a:p>
      </xdr:txBody>
    </xdr:sp>
    <xdr:clientData/>
  </xdr:twoCellAnchor>
  <xdr:twoCellAnchor>
    <xdr:from>
      <xdr:col>5</xdr:col>
      <xdr:colOff>520045</xdr:colOff>
      <xdr:row>9</xdr:row>
      <xdr:rowOff>501928</xdr:rowOff>
    </xdr:from>
    <xdr:to>
      <xdr:col>5</xdr:col>
      <xdr:colOff>692425</xdr:colOff>
      <xdr:row>10</xdr:row>
      <xdr:rowOff>138210</xdr:rowOff>
    </xdr:to>
    <xdr:sp macro="" textlink="">
      <xdr:nvSpPr>
        <xdr:cNvPr id="14" name="円/楕円 7">
          <a:extLst>
            <a:ext uri="{FF2B5EF4-FFF2-40B4-BE49-F238E27FC236}">
              <a16:creationId xmlns:a16="http://schemas.microsoft.com/office/drawing/2014/main" id="{1831C88D-B208-4FD1-89C8-E7F787374888}"/>
            </a:ext>
          </a:extLst>
        </xdr:cNvPr>
        <xdr:cNvSpPr/>
      </xdr:nvSpPr>
      <xdr:spPr>
        <a:xfrm>
          <a:off x="7444306" y="4005471"/>
          <a:ext cx="172380" cy="182935"/>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s-DO" sz="1400" b="1">
              <a:latin typeface="Century Gothic" panose="020B0502020202020204" pitchFamily="34" charset="0"/>
            </a:rPr>
            <a:t>5</a:t>
          </a:r>
        </a:p>
      </xdr:txBody>
    </xdr:sp>
    <xdr:clientData/>
  </xdr:twoCellAnchor>
  <xdr:twoCellAnchor>
    <xdr:from>
      <xdr:col>5</xdr:col>
      <xdr:colOff>531641</xdr:colOff>
      <xdr:row>7</xdr:row>
      <xdr:rowOff>115958</xdr:rowOff>
    </xdr:from>
    <xdr:to>
      <xdr:col>5</xdr:col>
      <xdr:colOff>704021</xdr:colOff>
      <xdr:row>7</xdr:row>
      <xdr:rowOff>298893</xdr:rowOff>
    </xdr:to>
    <xdr:sp macro="" textlink="">
      <xdr:nvSpPr>
        <xdr:cNvPr id="15" name="円/楕円 7">
          <a:extLst>
            <a:ext uri="{FF2B5EF4-FFF2-40B4-BE49-F238E27FC236}">
              <a16:creationId xmlns:a16="http://schemas.microsoft.com/office/drawing/2014/main" id="{0D40CE48-14CF-4F2C-ABB1-8B2F5847554C}"/>
            </a:ext>
          </a:extLst>
        </xdr:cNvPr>
        <xdr:cNvSpPr/>
      </xdr:nvSpPr>
      <xdr:spPr>
        <a:xfrm>
          <a:off x="7455902" y="2526197"/>
          <a:ext cx="172380" cy="182935"/>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s-DO" sz="1400" b="1">
              <a:latin typeface="Century Gothic" panose="020B0502020202020204" pitchFamily="34" charset="0"/>
            </a:rPr>
            <a:t>6</a:t>
          </a:r>
        </a:p>
      </xdr:txBody>
    </xdr:sp>
    <xdr:clientData/>
  </xdr:twoCellAnchor>
</xdr:wsDr>
</file>

<file path=xl/drawings/drawing2.xml><?xml version="1.0" encoding="utf-8"?>
<xdr:wsDr xmlns:xdr="http://schemas.openxmlformats.org/drawingml/2006/spreadsheetDrawing" xmlns:a="http://schemas.openxmlformats.org/drawingml/2006/main">
  <xdr:absoluteAnchor>
    <xdr:pos x="0" y="0"/>
    <xdr:ext cx="9313333" cy="6077857"/>
    <xdr:graphicFrame macro="">
      <xdr:nvGraphicFramePr>
        <xdr:cNvPr id="2" name="Gráfico 1">
          <a:extLst>
            <a:ext uri="{FF2B5EF4-FFF2-40B4-BE49-F238E27FC236}">
              <a16:creationId xmlns:a16="http://schemas.microsoft.com/office/drawing/2014/main" id="{B7B4682C-12C7-4828-B001-2DACD20B2D5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9313333" cy="6077857"/>
    <xdr:graphicFrame macro="">
      <xdr:nvGraphicFramePr>
        <xdr:cNvPr id="2" name="Gráfico 1">
          <a:extLst>
            <a:ext uri="{FF2B5EF4-FFF2-40B4-BE49-F238E27FC236}">
              <a16:creationId xmlns:a16="http://schemas.microsoft.com/office/drawing/2014/main" id="{14C5A505-F6CD-4A27-96DE-338BDDCC5F8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absoluteAnchor>
    <xdr:pos x="0" y="0"/>
    <xdr:ext cx="9313333" cy="6077857"/>
    <xdr:graphicFrame macro="">
      <xdr:nvGraphicFramePr>
        <xdr:cNvPr id="2" name="Gráfico 1">
          <a:extLst>
            <a:ext uri="{FF2B5EF4-FFF2-40B4-BE49-F238E27FC236}">
              <a16:creationId xmlns:a16="http://schemas.microsoft.com/office/drawing/2014/main" id="{FCCB0FD5-74F7-473B-8269-0D3379427719}"/>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anita Rodríguez" refreshedDate="43717.65267974537" createdVersion="6" refreshedVersion="6" minRefreshableVersion="3" recordCount="20" xr:uid="{00000000-000A-0000-FFFF-FFFF06000000}">
  <cacheSource type="worksheet">
    <worksheetSource ref="C4:L24" sheet="INFO DE BASE"/>
  </cacheSource>
  <cacheFields count="10">
    <cacheField name="SECTORES ECONÓMICOS SEGÚN CÓDIGO CIIU" numFmtId="0">
      <sharedItems count="20">
        <s v="Agricultura, ganadería, caza, silvicultura y pesca "/>
        <s v="Explotación de minas y canteras"/>
        <s v="Industrias Manufactureras"/>
        <s v="Suministro de electricidad, gas, vapor y aire acondicionado"/>
        <s v="Distribución de agua; evacuación y tratamiento de aguas residuales, gestión de desechos y actividades de saneamiento ambiental "/>
        <s v="Construcción"/>
        <s v="Comercio al por mayor y al por menor; reparación de vehículos automotores y motocicletas"/>
        <s v="Transporte y almacenamiento"/>
        <s v="Alojamiento y servicios de comida"/>
        <s v="Información y comunicaciones"/>
        <s v="Actividades financieras y de seguros"/>
        <s v="Actividades inmobiliarias"/>
        <s v="Actividades profesionales, científicas y técnicas "/>
        <s v="Actividades de servicios administrativos y de apoyo"/>
        <s v="Administración pública y defensa; planes de seguridad social de afiliación obligatoria"/>
        <s v="Educación"/>
        <s v="Actividades de atención de la salud humana y de asistencia social"/>
        <s v="Actividades artísticas, de entretenimiento y recreación"/>
        <s v="Otras actividades de servicios"/>
        <s v="Actividades de los hogares individuales en calidad de empleadores"/>
      </sharedItems>
    </cacheField>
    <cacheField name="VALOR ACTIVOS" numFmtId="164">
      <sharedItems containsSemiMixedTypes="0" containsString="0" containsNumber="1" containsInteger="1" minValue="0" maxValue="8056090741" count="18">
        <n v="93958203"/>
        <n v="0"/>
        <n v="1430775589"/>
        <n v="38400000"/>
        <n v="9325000"/>
        <n v="4249344715"/>
        <n v="7602828219"/>
        <n v="1130479429"/>
        <n v="8056090741"/>
        <n v="274367440"/>
        <n v="26870000"/>
        <n v="59179000"/>
        <n v="477982754"/>
        <n v="22000000"/>
        <n v="3000000"/>
        <n v="13953830"/>
        <n v="91573300"/>
        <n v="123692800"/>
      </sharedItems>
    </cacheField>
    <cacheField name="% Económico" numFmtId="10">
      <sharedItems containsSemiMixedTypes="0" containsString="0" containsNumber="1" minValue="0" maxValue="0.33986464605021727"/>
    </cacheField>
    <cacheField name="BENEFICIOS AL SECTOR" numFmtId="0">
      <sharedItems containsSemiMixedTypes="0" containsString="0" containsNumber="1" containsInteger="1" minValue="0" maxValue="9000"/>
    </cacheField>
    <cacheField name="% Beneficios" numFmtId="10">
      <sharedItems containsSemiMixedTypes="0" containsString="0" containsNumber="1" minValue="0" maxValue="0.30633083730428862"/>
    </cacheField>
    <cacheField name="IMPACTO ECONÓMICO" numFmtId="166">
      <sharedItems containsSemiMixedTypes="0" containsString="0" containsNumber="1" minValue="0" maxValue="6.9869076224499382"/>
    </cacheField>
    <cacheField name="# EMPRESAS" numFmtId="0">
      <sharedItems containsSemiMixedTypes="0" containsString="0" containsNumber="1" containsInteger="1" minValue="0" maxValue="377"/>
    </cacheField>
    <cacheField name="% Empresas" numFmtId="10">
      <sharedItems containsSemiMixedTypes="0" containsString="0" containsNumber="1" minValue="0" maxValue="0.51362397820163486"/>
    </cacheField>
    <cacheField name="BENEFICIARIOS POR SECTOR" numFmtId="0">
      <sharedItems containsSemiMixedTypes="0" containsString="0" containsNumber="1" containsInteger="1" minValue="0" maxValue="100"/>
    </cacheField>
    <cacheField name="% Benefiarios" numFmtId="10">
      <sharedItems containsSemiMixedTypes="0" containsString="0" containsNumber="1" minValue="0" maxValue="0.571428571428571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5971.952104166667" createdVersion="6" refreshedVersion="8" minRefreshableVersion="3" recordCount="18" xr:uid="{00000000-000A-0000-FFFF-FFFF0B000000}">
  <cacheSource type="worksheet">
    <worksheetSource ref="B3:H21" sheet="CADENA DE VALOR"/>
  </cacheSource>
  <cacheFields count="7">
    <cacheField name="Actividad" numFmtId="0">
      <sharedItems containsBlank="1"/>
    </cacheField>
    <cacheField name="Tiempo" numFmtId="0">
      <sharedItems containsBlank="1"/>
    </cacheField>
    <cacheField name="Costo" numFmtId="0">
      <sharedItems containsString="0" containsBlank="1" containsNumber="1" containsInteger="1" minValue="480" maxValue="6000"/>
    </cacheField>
    <cacheField name="Sector económico" numFmtId="0">
      <sharedItems containsBlank="1" count="6">
        <m/>
        <s v="Actividades profesionales, científicas y técnicas "/>
        <s v="Agricultura, ganadería, caza, silvicultura y pesca "/>
        <s v="Comercio al por mayor y al por menor; reparación de vehículos automotores y motocicletas"/>
        <s v="Industrias Manufactureras"/>
        <s v="Actividades de servicios administrativos y de apoyo"/>
      </sharedItems>
    </cacheField>
    <cacheField name="Beneficiarios" numFmtId="0">
      <sharedItems containsString="0" containsBlank="1" containsNumber="1" containsInteger="1" minValue="1" maxValue="2"/>
    </cacheField>
    <cacheField name="Caracterización de los beneficiarios" numFmtId="0">
      <sharedItems containsBlank="1" count="6">
        <m/>
        <s v="Artesano Independiente"/>
        <s v="Guaduero"/>
        <s v="Tienda de insumos"/>
        <s v="Trabajador de tienda artesanal"/>
        <s v="Trabajador de tienda" u="1"/>
      </sharedItems>
    </cacheField>
    <cacheField name="Oferta potencial" numFmtId="0">
      <sharedItems containsString="0" containsBlank="1" containsNumber="1" containsInteger="1" minValue="5" maxValue="1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n v="3.9638420708932604E-3"/>
    <n v="5000"/>
    <n v="0.17018379850238258"/>
    <n v="6.7458170028816544E-2"/>
    <n v="10"/>
    <n v="1.3623978201634877E-2"/>
    <n v="20"/>
    <n v="0.11428571428571428"/>
  </r>
  <r>
    <x v="1"/>
    <x v="1"/>
    <n v="0"/>
    <n v="0"/>
    <n v="0"/>
    <n v="0"/>
    <n v="0"/>
    <n v="0"/>
    <n v="0"/>
    <n v="0"/>
  </r>
  <r>
    <x v="2"/>
    <x v="2"/>
    <n v="6.0360546419616863E-2"/>
    <n v="9000"/>
    <n v="0.30633083730428862"/>
    <n v="1.8490296724865616"/>
    <n v="52"/>
    <n v="7.0844686648501368E-2"/>
    <n v="100"/>
    <n v="0.5714285714285714"/>
  </r>
  <r>
    <x v="3"/>
    <x v="3"/>
    <n v="1.6199919822040573E-3"/>
    <n v="0"/>
    <n v="0"/>
    <n v="0"/>
    <n v="1"/>
    <n v="1.3623978201634877E-3"/>
    <n v="0"/>
    <n v="0"/>
  </r>
  <r>
    <x v="4"/>
    <x v="4"/>
    <n v="3.933964904701259E-4"/>
    <n v="0"/>
    <n v="0"/>
    <n v="0"/>
    <n v="3"/>
    <n v="4.0871934604904629E-3"/>
    <n v="0"/>
    <n v="0"/>
  </r>
  <r>
    <x v="5"/>
    <x v="5"/>
    <n v="0.17926834291461419"/>
    <n v="0"/>
    <n v="0"/>
    <n v="0"/>
    <n v="25"/>
    <n v="3.4059945504087197E-2"/>
    <n v="0"/>
    <n v="0"/>
  </r>
  <r>
    <x v="6"/>
    <x v="6"/>
    <n v="0.32074272804309251"/>
    <n v="6400"/>
    <n v="0.21783526208304968"/>
    <n v="6.9869076224499382"/>
    <n v="377"/>
    <n v="0.51362397820163486"/>
    <n v="5"/>
    <n v="2.8571428571428571E-2"/>
  </r>
  <r>
    <x v="7"/>
    <x v="7"/>
    <n v="4.7691864870484921E-2"/>
    <n v="0"/>
    <n v="0"/>
    <n v="0"/>
    <n v="16"/>
    <n v="2.1798365122615803E-2"/>
    <n v="0"/>
    <n v="0"/>
  </r>
  <r>
    <x v="8"/>
    <x v="8"/>
    <n v="0.33986464605021727"/>
    <n v="0"/>
    <n v="0"/>
    <n v="0"/>
    <n v="146"/>
    <n v="0.1989100817438692"/>
    <n v="0"/>
    <n v="0"/>
  </r>
  <r>
    <x v="9"/>
    <x v="9"/>
    <n v="1.1574819087964915E-2"/>
    <n v="0"/>
    <n v="0"/>
    <n v="0"/>
    <n v="10"/>
    <n v="1.3623978201634877E-2"/>
    <n v="0"/>
    <n v="0"/>
  </r>
  <r>
    <x v="10"/>
    <x v="10"/>
    <n v="1.1335725146308078E-3"/>
    <n v="0"/>
    <n v="0"/>
    <n v="0"/>
    <n v="6"/>
    <n v="8.1743869209809257E-3"/>
    <n v="0"/>
    <n v="0"/>
  </r>
  <r>
    <x v="11"/>
    <x v="11"/>
    <n v="2.4966017061159871E-3"/>
    <n v="0"/>
    <n v="0"/>
    <n v="0"/>
    <n v="7"/>
    <n v="9.5367847411444145E-3"/>
    <n v="0"/>
    <n v="0"/>
  </r>
  <r>
    <x v="12"/>
    <x v="12"/>
    <n v="2.0164797633120166E-2"/>
    <n v="6000"/>
    <n v="0.20422055820285909"/>
    <n v="0.41180662286834924"/>
    <n v="12"/>
    <n v="1.6348773841961851E-2"/>
    <n v="50"/>
    <n v="0.2857142857142857"/>
  </r>
  <r>
    <x v="13"/>
    <x v="13"/>
    <n v="9.2812040647107452E-4"/>
    <n v="2980"/>
    <n v="0.10142954390742001"/>
    <n v="9.4138829519530356E-3"/>
    <n v="9"/>
    <n v="1.226158038147139E-2"/>
    <n v="0"/>
    <n v="0"/>
  </r>
  <r>
    <x v="14"/>
    <x v="1"/>
    <n v="0"/>
    <n v="0"/>
    <n v="0"/>
    <n v="0"/>
    <n v="0"/>
    <n v="0"/>
    <n v="0"/>
    <n v="0"/>
  </r>
  <r>
    <x v="15"/>
    <x v="14"/>
    <n v="1.2656187360969199E-4"/>
    <n v="0"/>
    <n v="0"/>
    <n v="0"/>
    <n v="2"/>
    <n v="2.7247956403269754E-3"/>
    <n v="0"/>
    <n v="0"/>
  </r>
  <r>
    <x v="16"/>
    <x v="15"/>
    <n v="5.8867428961037612E-4"/>
    <n v="0"/>
    <n v="0"/>
    <n v="0"/>
    <n v="2"/>
    <n v="2.7247956403269754E-3"/>
    <n v="0"/>
    <n v="0"/>
  </r>
  <r>
    <x v="17"/>
    <x v="16"/>
    <n v="3.8632294735408022E-3"/>
    <n v="0"/>
    <n v="0"/>
    <n v="0"/>
    <n v="13"/>
    <n v="1.7711171662125342E-2"/>
    <n v="0"/>
    <n v="0"/>
  </r>
  <r>
    <x v="18"/>
    <x v="17"/>
    <n v="5.2182641733429696E-3"/>
    <n v="0"/>
    <n v="0"/>
    <n v="0"/>
    <n v="43"/>
    <n v="5.858310626702997E-2"/>
    <n v="0"/>
    <n v="0"/>
  </r>
  <r>
    <x v="19"/>
    <x v="1"/>
    <n v="0"/>
    <n v="0"/>
    <n v="0"/>
    <n v="0"/>
    <n v="0"/>
    <n v="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m/>
    <m/>
    <m/>
    <x v="0"/>
    <m/>
    <x v="0"/>
    <m/>
  </r>
  <r>
    <s v="•Realizar el diseño de la pieza de madera"/>
    <s v="8 horas"/>
    <n v="2500"/>
    <x v="1"/>
    <n v="1"/>
    <x v="1"/>
    <n v="50"/>
  </r>
  <r>
    <s v="•Realizar el dibujo del enchape"/>
    <m/>
    <n v="2500"/>
    <x v="1"/>
    <n v="1"/>
    <x v="1"/>
    <m/>
  </r>
  <r>
    <s v="•Establecer medidas y calidad de los materiales"/>
    <m/>
    <n v="1000"/>
    <x v="1"/>
    <n v="1"/>
    <x v="1"/>
    <m/>
  </r>
  <r>
    <s v="•Recolectar y preparar de hojas caulinares"/>
    <m/>
    <n v="5000"/>
    <x v="2"/>
    <n v="2"/>
    <x v="2"/>
    <n v="20"/>
  </r>
  <r>
    <m/>
    <m/>
    <m/>
    <x v="0"/>
    <m/>
    <x v="0"/>
    <m/>
  </r>
  <r>
    <s v="•Comprar insumos necesarios"/>
    <s v="1 hora"/>
    <n v="4000"/>
    <x v="3"/>
    <n v="1"/>
    <x v="3"/>
    <n v="5"/>
  </r>
  <r>
    <s v="•Elaborar de la pieza base de madera"/>
    <s v="3 horas"/>
    <n v="2000"/>
    <x v="4"/>
    <n v="2"/>
    <x v="1"/>
    <m/>
  </r>
  <r>
    <s v="•Enchapar con hoja caulinar"/>
    <s v="3 horas"/>
    <n v="6000"/>
    <x v="4"/>
    <n v="2"/>
    <x v="1"/>
    <m/>
  </r>
  <r>
    <s v="•Empacar"/>
    <s v="3 horas"/>
    <n v="1000"/>
    <x v="4"/>
    <n v="1"/>
    <x v="4"/>
    <n v="100"/>
  </r>
  <r>
    <m/>
    <m/>
    <m/>
    <x v="0"/>
    <m/>
    <x v="0"/>
    <m/>
  </r>
  <r>
    <m/>
    <m/>
    <m/>
    <x v="0"/>
    <m/>
    <x v="0"/>
    <m/>
  </r>
  <r>
    <m/>
    <m/>
    <m/>
    <x v="0"/>
    <m/>
    <x v="0"/>
    <m/>
  </r>
  <r>
    <s v="•Ofrecer (directo a clientes), exhibir (entienda) o promocionar (en ferias) producto a clientes minoristas"/>
    <s v="6 HORAS"/>
    <n v="2500"/>
    <x v="5"/>
    <n v="1"/>
    <x v="4"/>
    <m/>
  </r>
  <r>
    <m/>
    <m/>
    <m/>
    <x v="0"/>
    <m/>
    <x v="0"/>
    <m/>
  </r>
  <r>
    <m/>
    <m/>
    <m/>
    <x v="0"/>
    <m/>
    <x v="0"/>
    <m/>
  </r>
  <r>
    <s v="Venta del producto en tiendas externas, ferias o tiendas propias"/>
    <s v="30 minutos"/>
    <n v="2400"/>
    <x v="3"/>
    <n v="1"/>
    <x v="4"/>
    <m/>
  </r>
  <r>
    <s v="Retroalimentar satisfacción del cliente"/>
    <s v="10 minutos"/>
    <n v="480"/>
    <x v="5"/>
    <n v="1"/>
    <x v="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TablaDinámica2" cacheId="59" applyNumberFormats="0" applyBorderFormats="0" applyFontFormats="0" applyPatternFormats="0" applyAlignmentFormats="0" applyWidthHeightFormats="1" dataCaption="Valores" updatedVersion="8" minRefreshableVersion="3" useAutoFormatting="1" itemPrintTitles="1" createdVersion="6" indent="0" outline="1" outlineData="1" chartFormat="6">
  <location ref="A29:C34" firstHeaderRow="0" firstDataRow="1" firstDataCol="1"/>
  <pivotFields count="7">
    <pivotField showAll="0"/>
    <pivotField showAll="0"/>
    <pivotField dataField="1" showAll="0"/>
    <pivotField showAll="0"/>
    <pivotField dataField="1" showAll="0"/>
    <pivotField axis="axisRow" showAll="0">
      <items count="7">
        <item sd="0" x="1"/>
        <item sd="0" x="2"/>
        <item sd="0" x="3"/>
        <item sd="0" m="1" x="5"/>
        <item h="1" sd="0" x="0"/>
        <item x="4"/>
        <item t="default"/>
      </items>
    </pivotField>
    <pivotField showAll="0"/>
  </pivotFields>
  <rowFields count="1">
    <field x="5"/>
  </rowFields>
  <rowItems count="5">
    <i>
      <x/>
    </i>
    <i>
      <x v="1"/>
    </i>
    <i>
      <x v="2"/>
    </i>
    <i>
      <x v="5"/>
    </i>
    <i t="grand">
      <x/>
    </i>
  </rowItems>
  <colFields count="1">
    <field x="-2"/>
  </colFields>
  <colItems count="2">
    <i>
      <x/>
    </i>
    <i i="1">
      <x v="1"/>
    </i>
  </colItems>
  <dataFields count="2">
    <dataField name="Suma de Costo" fld="2" baseField="5" baseItem="0"/>
    <dataField name="Suma de Beneficiarios" fld="4" baseField="0" baseItem="0"/>
  </dataFields>
  <chartFormats count="13">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15" series="1">
      <pivotArea type="data" outline="0" fieldPosition="0">
        <references count="1">
          <reference field="4294967294" count="1" selected="0">
            <x v="1"/>
          </reference>
        </references>
      </pivotArea>
    </chartFormat>
    <chartFormat chart="5" format="34">
      <pivotArea type="data" outline="0" fieldPosition="0">
        <references count="2">
          <reference field="4294967294" count="1" selected="0">
            <x v="0"/>
          </reference>
          <reference field="5" count="1" selected="0">
            <x v="0"/>
          </reference>
        </references>
      </pivotArea>
    </chartFormat>
    <chartFormat chart="5" format="35">
      <pivotArea type="data" outline="0" fieldPosition="0">
        <references count="2">
          <reference field="4294967294" count="1" selected="0">
            <x v="0"/>
          </reference>
          <reference field="5" count="1" selected="0">
            <x v="1"/>
          </reference>
        </references>
      </pivotArea>
    </chartFormat>
    <chartFormat chart="5" format="36">
      <pivotArea type="data" outline="0" fieldPosition="0">
        <references count="2">
          <reference field="4294967294" count="1" selected="0">
            <x v="0"/>
          </reference>
          <reference field="5" count="1" selected="0">
            <x v="2"/>
          </reference>
        </references>
      </pivotArea>
    </chartFormat>
    <chartFormat chart="5" format="37">
      <pivotArea type="data" outline="0" fieldPosition="0">
        <references count="2">
          <reference field="4294967294" count="1" selected="0">
            <x v="0"/>
          </reference>
          <reference field="5" count="1" selected="0">
            <x v="3"/>
          </reference>
        </references>
      </pivotArea>
    </chartFormat>
    <chartFormat chart="5" format="38">
      <pivotArea type="data" outline="0" fieldPosition="0">
        <references count="2">
          <reference field="4294967294" count="1" selected="0">
            <x v="1"/>
          </reference>
          <reference field="5" count="1" selected="0">
            <x v="0"/>
          </reference>
        </references>
      </pivotArea>
    </chartFormat>
    <chartFormat chart="5" format="39">
      <pivotArea type="data" outline="0" fieldPosition="0">
        <references count="2">
          <reference field="4294967294" count="1" selected="0">
            <x v="1"/>
          </reference>
          <reference field="5" count="1" selected="0">
            <x v="1"/>
          </reference>
        </references>
      </pivotArea>
    </chartFormat>
    <chartFormat chart="5" format="40">
      <pivotArea type="data" outline="0" fieldPosition="0">
        <references count="2">
          <reference field="4294967294" count="1" selected="0">
            <x v="1"/>
          </reference>
          <reference field="5" count="1" selected="0">
            <x v="2"/>
          </reference>
        </references>
      </pivotArea>
    </chartFormat>
    <chartFormat chart="5" format="41">
      <pivotArea type="data" outline="0" fieldPosition="0">
        <references count="2">
          <reference field="4294967294" count="1" selected="0">
            <x v="1"/>
          </reference>
          <reference field="5" count="1" selected="0">
            <x v="3"/>
          </reference>
        </references>
      </pivotArea>
    </chartFormat>
    <chartFormat chart="5" format="42">
      <pivotArea type="data" outline="0" fieldPosition="0">
        <references count="2">
          <reference field="4294967294" count="1" selected="0">
            <x v="0"/>
          </reference>
          <reference field="5" count="1" selected="0">
            <x v="5"/>
          </reference>
        </references>
      </pivotArea>
    </chartFormat>
    <chartFormat chart="5" format="43">
      <pivotArea type="data" outline="0" fieldPosition="0">
        <references count="2">
          <reference field="4294967294" count="1" selected="0">
            <x v="1"/>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A00-000002000000}" name="TablaDinámica1" cacheId="59" applyNumberFormats="0" applyBorderFormats="0" applyFontFormats="0" applyPatternFormats="0" applyAlignmentFormats="0" applyWidthHeightFormats="1" dataCaption="Valores" updatedVersion="8" minRefreshableVersion="3" useAutoFormatting="1" itemPrintTitles="1" createdVersion="6" indent="0" outline="1" outlineData="1" chartFormat="4">
  <location ref="A3:B9" firstHeaderRow="1" firstDataRow="1" firstDataCol="1"/>
  <pivotFields count="7">
    <pivotField showAll="0"/>
    <pivotField showAll="0"/>
    <pivotField dataField="1" showAll="0"/>
    <pivotField axis="axisRow" showAll="0">
      <items count="7">
        <item sd="0" x="5"/>
        <item sd="0" x="1"/>
        <item sd="0" x="2"/>
        <item sd="0" x="3"/>
        <item sd="0" x="4"/>
        <item h="1" sd="0" x="0"/>
        <item t="default"/>
      </items>
    </pivotField>
    <pivotField showAll="0"/>
    <pivotField showAll="0"/>
    <pivotField showAll="0"/>
  </pivotFields>
  <rowFields count="1">
    <field x="3"/>
  </rowFields>
  <rowItems count="6">
    <i>
      <x/>
    </i>
    <i>
      <x v="1"/>
    </i>
    <i>
      <x v="2"/>
    </i>
    <i>
      <x v="3"/>
    </i>
    <i>
      <x v="4"/>
    </i>
    <i t="grand">
      <x/>
    </i>
  </rowItems>
  <colItems count="1">
    <i/>
  </colItems>
  <dataFields count="1">
    <dataField name="Suma de Costo" fld="2" showDataAs="percentOfTotal" baseField="3" baseItem="0" numFmtId="10"/>
  </dataFields>
  <formats count="9">
    <format dxfId="8">
      <pivotArea field="3" type="button" dataOnly="0" labelOnly="1" outline="0" axis="axisRow" fieldPosition="0"/>
    </format>
    <format dxfId="9">
      <pivotArea dataOnly="0" labelOnly="1" outline="0" axis="axisValues" fieldPosition="0"/>
    </format>
    <format dxfId="10">
      <pivotArea dataOnly="0" outline="0" axis="axisValues" fieldPosition="0"/>
    </format>
    <format dxfId="11">
      <pivotArea collapsedLevelsAreSubtotals="1" fieldPosition="0">
        <references count="1">
          <reference field="3" count="1">
            <x v="0"/>
          </reference>
        </references>
      </pivotArea>
    </format>
    <format dxfId="12">
      <pivotArea collapsedLevelsAreSubtotals="1" fieldPosition="0">
        <references count="1">
          <reference field="3" count="1">
            <x v="1"/>
          </reference>
        </references>
      </pivotArea>
    </format>
    <format dxfId="13">
      <pivotArea collapsedLevelsAreSubtotals="1" fieldPosition="0">
        <references count="1">
          <reference field="3" count="1">
            <x v="2"/>
          </reference>
        </references>
      </pivotArea>
    </format>
    <format dxfId="14">
      <pivotArea collapsedLevelsAreSubtotals="1" fieldPosition="0">
        <references count="1">
          <reference field="3" count="1">
            <x v="3"/>
          </reference>
        </references>
      </pivotArea>
    </format>
    <format dxfId="15">
      <pivotArea collapsedLevelsAreSubtotals="1" fieldPosition="0">
        <references count="1">
          <reference field="3" count="1">
            <x v="4"/>
          </reference>
        </references>
      </pivotArea>
    </format>
    <format dxfId="16">
      <pivotArea collapsedLevelsAreSubtotals="1" fieldPosition="0">
        <references count="1">
          <reference field="3" count="1">
            <x v="5"/>
          </reference>
        </references>
      </pivotArea>
    </format>
  </formats>
  <chartFormats count="7">
    <chartFormat chart="3" format="18" series="1">
      <pivotArea type="data" outline="0" fieldPosition="0">
        <references count="1">
          <reference field="4294967294" count="1" selected="0">
            <x v="0"/>
          </reference>
        </references>
      </pivotArea>
    </chartFormat>
    <chartFormat chart="3" format="19">
      <pivotArea type="data" outline="0" fieldPosition="0">
        <references count="2">
          <reference field="4294967294" count="1" selected="0">
            <x v="0"/>
          </reference>
          <reference field="3" count="1" selected="0">
            <x v="0"/>
          </reference>
        </references>
      </pivotArea>
    </chartFormat>
    <chartFormat chart="3" format="20">
      <pivotArea type="data" outline="0" fieldPosition="0">
        <references count="2">
          <reference field="4294967294" count="1" selected="0">
            <x v="0"/>
          </reference>
          <reference field="3" count="1" selected="0">
            <x v="1"/>
          </reference>
        </references>
      </pivotArea>
    </chartFormat>
    <chartFormat chart="3" format="21">
      <pivotArea type="data" outline="0" fieldPosition="0">
        <references count="2">
          <reference field="4294967294" count="1" selected="0">
            <x v="0"/>
          </reference>
          <reference field="3" count="1" selected="0">
            <x v="2"/>
          </reference>
        </references>
      </pivotArea>
    </chartFormat>
    <chartFormat chart="3" format="22">
      <pivotArea type="data" outline="0" fieldPosition="0">
        <references count="2">
          <reference field="4294967294" count="1" selected="0">
            <x v="0"/>
          </reference>
          <reference field="3" count="1" selected="0">
            <x v="3"/>
          </reference>
        </references>
      </pivotArea>
    </chartFormat>
    <chartFormat chart="3" format="23">
      <pivotArea type="data" outline="0" fieldPosition="0">
        <references count="2">
          <reference field="4294967294" count="1" selected="0">
            <x v="0"/>
          </reference>
          <reference field="3" count="1" selected="0">
            <x v="4"/>
          </reference>
        </references>
      </pivotArea>
    </chartFormat>
    <chartFormat chart="3" format="24">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A00-000001000000}" name="COMPOSICIÓN ECONÓMICA" cacheId="53" applyNumberFormats="0" applyBorderFormats="0" applyFontFormats="0" applyPatternFormats="0" applyAlignmentFormats="0" applyWidthHeightFormats="1" dataCaption="Valores" updatedVersion="6" minRefreshableVersion="3" showDrill="0" useAutoFormatting="1" itemPrintTitles="1" createdVersion="6" indent="0" outline="1" outlineData="1" multipleFieldFilters="0" chartFormat="10">
  <location ref="E3:G21" firstHeaderRow="0" firstDataRow="1" firstDataCol="1" rowPageCount="1" colPageCount="1"/>
  <pivotFields count="10">
    <pivotField name="SECTORES" axis="axisRow" showAll="0">
      <items count="21">
        <item x="17"/>
        <item x="16"/>
        <item x="19"/>
        <item x="13"/>
        <item x="10"/>
        <item x="11"/>
        <item x="12"/>
        <item x="14"/>
        <item x="0"/>
        <item x="8"/>
        <item x="6"/>
        <item x="5"/>
        <item x="4"/>
        <item x="15"/>
        <item x="1"/>
        <item x="2"/>
        <item x="9"/>
        <item x="18"/>
        <item x="3"/>
        <item x="7"/>
        <item t="default"/>
      </items>
    </pivotField>
    <pivotField axis="axisPage" numFmtId="164" multipleItemSelectionAllowed="1" showAll="0">
      <items count="19">
        <item h="1" x="1"/>
        <item x="14"/>
        <item x="4"/>
        <item x="15"/>
        <item x="13"/>
        <item x="10"/>
        <item x="3"/>
        <item x="11"/>
        <item x="16"/>
        <item x="0"/>
        <item x="17"/>
        <item x="9"/>
        <item x="12"/>
        <item x="7"/>
        <item x="2"/>
        <item x="5"/>
        <item x="6"/>
        <item x="8"/>
        <item t="default"/>
      </items>
    </pivotField>
    <pivotField dataField="1" numFmtId="10" showAll="0"/>
    <pivotField showAll="0"/>
    <pivotField numFmtId="10" showAll="0"/>
    <pivotField numFmtId="166" showAll="0"/>
    <pivotField showAll="0"/>
    <pivotField dataField="1" numFmtId="10" showAll="0"/>
    <pivotField showAll="0"/>
    <pivotField numFmtId="10" showAll="0"/>
  </pivotFields>
  <rowFields count="1">
    <field x="0"/>
  </rowFields>
  <rowItems count="18">
    <i>
      <x/>
    </i>
    <i>
      <x v="1"/>
    </i>
    <i>
      <x v="3"/>
    </i>
    <i>
      <x v="4"/>
    </i>
    <i>
      <x v="5"/>
    </i>
    <i>
      <x v="6"/>
    </i>
    <i>
      <x v="8"/>
    </i>
    <i>
      <x v="9"/>
    </i>
    <i>
      <x v="10"/>
    </i>
    <i>
      <x v="11"/>
    </i>
    <i>
      <x v="12"/>
    </i>
    <i>
      <x v="13"/>
    </i>
    <i>
      <x v="15"/>
    </i>
    <i>
      <x v="16"/>
    </i>
    <i>
      <x v="17"/>
    </i>
    <i>
      <x v="18"/>
    </i>
    <i>
      <x v="19"/>
    </i>
    <i t="grand">
      <x/>
    </i>
  </rowItems>
  <colFields count="1">
    <field x="-2"/>
  </colFields>
  <colItems count="2">
    <i>
      <x/>
    </i>
    <i i="1">
      <x v="1"/>
    </i>
  </colItems>
  <pageFields count="1">
    <pageField fld="1" hier="-1"/>
  </pageFields>
  <dataFields count="2">
    <dataField name="Suma de % Económico" fld="2" baseField="0" baseItem="0"/>
    <dataField name="Suma de % Empresas" fld="7" baseField="0" baseItem="0"/>
  </dataFields>
  <formats count="8">
    <format dxfId="0">
      <pivotArea type="all" dataOnly="0" outline="0" fieldPosition="0"/>
    </format>
    <format dxfId="1">
      <pivotArea outline="0" collapsedLevelsAreSubtotals="1" fieldPosition="0"/>
    </format>
    <format dxfId="2">
      <pivotArea field="0" type="button" dataOnly="0" labelOnly="1" outline="0" axis="axisRow" fieldPosition="0"/>
    </format>
    <format dxfId="3">
      <pivotArea dataOnly="0" labelOnly="1" fieldPosition="0">
        <references count="1">
          <reference field="0" count="0"/>
        </references>
      </pivotArea>
    </format>
    <format dxfId="4">
      <pivotArea dataOnly="0" labelOnly="1" grandRow="1" outline="0" fieldPosition="0"/>
    </format>
    <format dxfId="5">
      <pivotArea dataOnly="0" labelOnly="1" outline="0" axis="axisValues" fieldPosition="0"/>
    </format>
    <format dxfId="6">
      <pivotArea collapsedLevelsAreSubtotals="1" fieldPosition="0">
        <references count="1">
          <reference field="0" count="0"/>
        </references>
      </pivotArea>
    </format>
    <format dxfId="7">
      <pivotArea collapsedLevelsAreSubtotals="1" fieldPosition="0">
        <references count="1">
          <reference field="0" count="0"/>
        </references>
      </pivotArea>
    </format>
  </formats>
  <chartFormats count="2">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6"/>
  <sheetViews>
    <sheetView showGridLines="0" tabSelected="1" workbookViewId="0">
      <selection activeCell="F10" sqref="F10:M10"/>
    </sheetView>
  </sheetViews>
  <sheetFormatPr defaultColWidth="11.42578125" defaultRowHeight="15"/>
  <cols>
    <col min="1" max="5" width="12.140625" customWidth="1"/>
  </cols>
  <sheetData>
    <row r="1" spans="1:13" ht="15.75" customHeight="1">
      <c r="A1" s="160" t="s">
        <v>0</v>
      </c>
      <c r="B1" s="161"/>
      <c r="C1" s="161"/>
      <c r="D1" s="161"/>
      <c r="E1" s="161"/>
      <c r="F1" s="161"/>
      <c r="G1" s="161"/>
      <c r="H1" s="161"/>
      <c r="I1" s="161"/>
      <c r="J1" s="161"/>
      <c r="K1" s="161"/>
      <c r="L1" s="161"/>
      <c r="M1" s="162"/>
    </row>
    <row r="2" spans="1:13" ht="15.75" customHeight="1">
      <c r="A2" s="163"/>
      <c r="B2" s="164"/>
      <c r="C2" s="164"/>
      <c r="D2" s="164"/>
      <c r="E2" s="164"/>
      <c r="F2" s="164"/>
      <c r="G2" s="164"/>
      <c r="H2" s="164"/>
      <c r="I2" s="164"/>
      <c r="J2" s="164"/>
      <c r="K2" s="164"/>
      <c r="L2" s="164"/>
      <c r="M2" s="165"/>
    </row>
    <row r="3" spans="1:13" ht="15.75" customHeight="1">
      <c r="A3" s="163"/>
      <c r="B3" s="164"/>
      <c r="C3" s="164"/>
      <c r="D3" s="164"/>
      <c r="E3" s="164"/>
      <c r="F3" s="164"/>
      <c r="G3" s="164"/>
      <c r="H3" s="164"/>
      <c r="I3" s="164"/>
      <c r="J3" s="164"/>
      <c r="K3" s="164"/>
      <c r="L3" s="164"/>
      <c r="M3" s="165"/>
    </row>
    <row r="4" spans="1:13" ht="15.75" customHeight="1">
      <c r="A4" s="163"/>
      <c r="B4" s="164"/>
      <c r="C4" s="164"/>
      <c r="D4" s="164"/>
      <c r="E4" s="164"/>
      <c r="F4" s="164"/>
      <c r="G4" s="164"/>
      <c r="H4" s="164"/>
      <c r="I4" s="164"/>
      <c r="J4" s="164"/>
      <c r="K4" s="164"/>
      <c r="L4" s="164"/>
      <c r="M4" s="165"/>
    </row>
    <row r="5" spans="1:13" ht="15.75" customHeight="1">
      <c r="A5" s="163"/>
      <c r="B5" s="164"/>
      <c r="C5" s="164"/>
      <c r="D5" s="164"/>
      <c r="E5" s="164"/>
      <c r="F5" s="164"/>
      <c r="G5" s="164"/>
      <c r="H5" s="164"/>
      <c r="I5" s="164"/>
      <c r="J5" s="164"/>
      <c r="K5" s="164"/>
      <c r="L5" s="164"/>
      <c r="M5" s="165"/>
    </row>
    <row r="6" spans="1:13" ht="15.75" customHeight="1" thickBot="1">
      <c r="A6" s="166"/>
      <c r="B6" s="167"/>
      <c r="C6" s="167"/>
      <c r="D6" s="167"/>
      <c r="E6" s="167"/>
      <c r="F6" s="167"/>
      <c r="G6" s="167"/>
      <c r="H6" s="167"/>
      <c r="I6" s="167"/>
      <c r="J6" s="167"/>
      <c r="K6" s="167"/>
      <c r="L6" s="167"/>
      <c r="M6" s="168"/>
    </row>
    <row r="7" spans="1:13" ht="15.75" thickBot="1"/>
    <row r="8" spans="1:13" ht="28.5" customHeight="1" thickBot="1">
      <c r="A8" s="169" t="s">
        <v>1</v>
      </c>
      <c r="B8" s="170"/>
      <c r="C8" s="170"/>
      <c r="D8" s="170"/>
      <c r="E8" s="171"/>
      <c r="F8" s="175" t="s">
        <v>2</v>
      </c>
      <c r="G8" s="175"/>
      <c r="H8" s="175"/>
      <c r="I8" s="175"/>
      <c r="J8" s="175"/>
      <c r="K8" s="175"/>
      <c r="L8" s="175"/>
      <c r="M8" s="176"/>
    </row>
    <row r="9" spans="1:13" ht="15.75" thickBot="1"/>
    <row r="10" spans="1:13" ht="30.75" customHeight="1" thickBot="1">
      <c r="A10" s="172" t="s">
        <v>3</v>
      </c>
      <c r="B10" s="173"/>
      <c r="C10" s="173"/>
      <c r="D10" s="173"/>
      <c r="E10" s="174"/>
      <c r="F10" s="177" t="s">
        <v>4</v>
      </c>
      <c r="G10" s="178"/>
      <c r="H10" s="178"/>
      <c r="I10" s="178"/>
      <c r="J10" s="178"/>
      <c r="K10" s="178"/>
      <c r="L10" s="178"/>
      <c r="M10" s="179"/>
    </row>
    <row r="11" spans="1:13" ht="15.75" thickBot="1"/>
    <row r="12" spans="1:13" ht="59.25" customHeight="1">
      <c r="A12" s="151" t="s">
        <v>5</v>
      </c>
      <c r="B12" s="152"/>
      <c r="C12" s="152"/>
      <c r="D12" s="152"/>
      <c r="E12" s="152"/>
      <c r="F12" s="152"/>
      <c r="G12" s="152"/>
      <c r="H12" s="152"/>
      <c r="I12" s="152"/>
      <c r="J12" s="152"/>
      <c r="K12" s="152"/>
      <c r="L12" s="152"/>
      <c r="M12" s="153"/>
    </row>
    <row r="13" spans="1:13" ht="59.25" customHeight="1">
      <c r="A13" s="154"/>
      <c r="B13" s="155"/>
      <c r="C13" s="155"/>
      <c r="D13" s="155"/>
      <c r="E13" s="155"/>
      <c r="F13" s="155"/>
      <c r="G13" s="155"/>
      <c r="H13" s="155"/>
      <c r="I13" s="155"/>
      <c r="J13" s="155"/>
      <c r="K13" s="155"/>
      <c r="L13" s="155"/>
      <c r="M13" s="156"/>
    </row>
    <row r="14" spans="1:13" ht="59.25" customHeight="1">
      <c r="A14" s="154"/>
      <c r="B14" s="155"/>
      <c r="C14" s="155"/>
      <c r="D14" s="155"/>
      <c r="E14" s="155"/>
      <c r="F14" s="155"/>
      <c r="G14" s="155"/>
      <c r="H14" s="155"/>
      <c r="I14" s="155"/>
      <c r="J14" s="155"/>
      <c r="K14" s="155"/>
      <c r="L14" s="155"/>
      <c r="M14" s="156"/>
    </row>
    <row r="15" spans="1:13" ht="59.25" customHeight="1" thickBot="1">
      <c r="A15" s="157"/>
      <c r="B15" s="158"/>
      <c r="C15" s="158"/>
      <c r="D15" s="158"/>
      <c r="E15" s="158"/>
      <c r="F15" s="158"/>
      <c r="G15" s="158"/>
      <c r="H15" s="158"/>
      <c r="I15" s="158"/>
      <c r="J15" s="158"/>
      <c r="K15" s="158"/>
      <c r="L15" s="158"/>
      <c r="M15" s="159"/>
    </row>
    <row r="16" spans="1:13" ht="45.75" customHeight="1"/>
  </sheetData>
  <mergeCells count="6">
    <mergeCell ref="A12:M15"/>
    <mergeCell ref="A1:M6"/>
    <mergeCell ref="A8:E8"/>
    <mergeCell ref="A10:E10"/>
    <mergeCell ref="F8:M8"/>
    <mergeCell ref="F10:M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4"/>
  <dimension ref="A1:T23"/>
  <sheetViews>
    <sheetView showGridLines="0" zoomScale="70" zoomScaleNormal="70" workbookViewId="0">
      <selection activeCell="C12" sqref="C12"/>
    </sheetView>
  </sheetViews>
  <sheetFormatPr defaultColWidth="11.42578125" defaultRowHeight="15"/>
  <cols>
    <col min="1" max="1" width="11.42578125" style="1"/>
    <col min="2" max="2" width="23.42578125" style="1" customWidth="1"/>
    <col min="3" max="3" width="17" style="1" customWidth="1"/>
    <col min="4" max="4" width="16.5703125" style="44" customWidth="1"/>
    <col min="5" max="5" width="30.5703125" style="1" customWidth="1"/>
    <col min="6" max="6" width="18.5703125" style="13" customWidth="1"/>
    <col min="7" max="7" width="27.85546875" style="1" customWidth="1"/>
    <col min="8" max="8" width="19.42578125" style="1" customWidth="1"/>
    <col min="9" max="9" width="2.140625" customWidth="1"/>
  </cols>
  <sheetData>
    <row r="1" spans="1:20" ht="40.5" customHeight="1" thickBot="1">
      <c r="A1" s="192" t="s">
        <v>6</v>
      </c>
      <c r="B1" s="193"/>
      <c r="C1" s="194"/>
      <c r="D1" s="180" t="str">
        <f>INTRODUCCIÓN!F8</f>
        <v>Artesanía enchapada en hoja caulinar de guadua</v>
      </c>
      <c r="E1" s="181"/>
      <c r="F1" s="181"/>
      <c r="G1" s="181"/>
      <c r="H1" s="182"/>
    </row>
    <row r="2" spans="1:20" ht="24" customHeight="1" thickBot="1"/>
    <row r="3" spans="1:20" ht="24" customHeight="1">
      <c r="A3" s="185" t="s">
        <v>7</v>
      </c>
      <c r="B3" s="185" t="s">
        <v>8</v>
      </c>
      <c r="C3" s="185" t="s">
        <v>9</v>
      </c>
      <c r="D3" s="183" t="s">
        <v>10</v>
      </c>
      <c r="E3" s="185" t="s">
        <v>11</v>
      </c>
      <c r="F3" s="185" t="s">
        <v>12</v>
      </c>
      <c r="G3" s="185" t="s">
        <v>13</v>
      </c>
      <c r="H3" s="185" t="s">
        <v>14</v>
      </c>
      <c r="J3" s="195" t="s">
        <v>15</v>
      </c>
      <c r="K3" s="196"/>
      <c r="L3" s="196"/>
      <c r="M3" s="196"/>
      <c r="N3" s="196"/>
      <c r="O3" s="196"/>
      <c r="P3" s="196"/>
      <c r="Q3" s="196"/>
      <c r="R3" s="196"/>
      <c r="S3" s="196"/>
      <c r="T3" s="197"/>
    </row>
    <row r="4" spans="1:20" ht="45" customHeight="1" thickBot="1">
      <c r="A4" s="186"/>
      <c r="B4" s="186"/>
      <c r="C4" s="186"/>
      <c r="D4" s="184"/>
      <c r="E4" s="186"/>
      <c r="F4" s="186"/>
      <c r="G4" s="186"/>
      <c r="H4" s="186"/>
      <c r="J4" s="198" t="s">
        <v>16</v>
      </c>
      <c r="K4" s="199"/>
      <c r="L4" s="199"/>
      <c r="M4" s="199"/>
      <c r="N4" s="199"/>
      <c r="O4" s="199"/>
      <c r="P4" s="199"/>
      <c r="Q4" s="199"/>
      <c r="R4" s="199"/>
      <c r="S4" s="199"/>
      <c r="T4" s="200"/>
    </row>
    <row r="5" spans="1:20" s="2" customFormat="1" ht="52.5" customHeight="1">
      <c r="A5" s="205" t="s">
        <v>17</v>
      </c>
      <c r="B5" s="62" t="s">
        <v>18</v>
      </c>
      <c r="C5" s="63" t="s">
        <v>19</v>
      </c>
      <c r="D5" s="82">
        <v>2500</v>
      </c>
      <c r="E5" s="62" t="s">
        <v>20</v>
      </c>
      <c r="F5" s="61">
        <v>1</v>
      </c>
      <c r="G5" s="62" t="s">
        <v>21</v>
      </c>
      <c r="H5" s="61">
        <v>50</v>
      </c>
      <c r="J5" s="198"/>
      <c r="K5" s="199"/>
      <c r="L5" s="199"/>
      <c r="M5" s="199"/>
      <c r="N5" s="199"/>
      <c r="O5" s="199"/>
      <c r="P5" s="199"/>
      <c r="Q5" s="199"/>
      <c r="R5" s="199"/>
      <c r="S5" s="199"/>
      <c r="T5" s="200"/>
    </row>
    <row r="6" spans="1:20" s="2" customFormat="1" ht="52.5" customHeight="1">
      <c r="A6" s="205"/>
      <c r="B6" s="3" t="s">
        <v>22</v>
      </c>
      <c r="C6" s="3"/>
      <c r="D6" s="43">
        <v>2500</v>
      </c>
      <c r="E6" s="3" t="s">
        <v>20</v>
      </c>
      <c r="F6" s="59">
        <v>1</v>
      </c>
      <c r="G6" s="3" t="s">
        <v>21</v>
      </c>
      <c r="H6" s="59"/>
      <c r="J6" s="198"/>
      <c r="K6" s="199"/>
      <c r="L6" s="199"/>
      <c r="M6" s="199"/>
      <c r="N6" s="199"/>
      <c r="O6" s="199"/>
      <c r="P6" s="199"/>
      <c r="Q6" s="199"/>
      <c r="R6" s="199"/>
      <c r="S6" s="199"/>
      <c r="T6" s="200"/>
    </row>
    <row r="7" spans="1:20" s="2" customFormat="1" ht="52.5" customHeight="1">
      <c r="A7" s="205"/>
      <c r="B7" s="3" t="s">
        <v>23</v>
      </c>
      <c r="C7" s="64"/>
      <c r="D7" s="43">
        <v>1000</v>
      </c>
      <c r="E7" s="3" t="s">
        <v>20</v>
      </c>
      <c r="F7" s="59">
        <v>1</v>
      </c>
      <c r="G7" s="3" t="s">
        <v>21</v>
      </c>
      <c r="H7" s="59"/>
      <c r="J7" s="198"/>
      <c r="K7" s="199"/>
      <c r="L7" s="199"/>
      <c r="M7" s="199"/>
      <c r="N7" s="199"/>
      <c r="O7" s="199"/>
      <c r="P7" s="199"/>
      <c r="Q7" s="199"/>
      <c r="R7" s="199"/>
      <c r="S7" s="199"/>
      <c r="T7" s="200"/>
    </row>
    <row r="8" spans="1:20" s="2" customFormat="1" ht="52.5" customHeight="1">
      <c r="A8" s="205"/>
      <c r="B8" s="5" t="s">
        <v>24</v>
      </c>
      <c r="C8" s="64"/>
      <c r="D8" s="66">
        <v>5000</v>
      </c>
      <c r="E8" s="5" t="s">
        <v>25</v>
      </c>
      <c r="F8" s="60">
        <v>2</v>
      </c>
      <c r="G8" s="5" t="s">
        <v>26</v>
      </c>
      <c r="H8" s="60">
        <v>20</v>
      </c>
      <c r="J8" s="198"/>
      <c r="K8" s="199"/>
      <c r="L8" s="199"/>
      <c r="M8" s="199"/>
      <c r="N8" s="199"/>
      <c r="O8" s="199"/>
      <c r="P8" s="199"/>
      <c r="Q8" s="199"/>
      <c r="R8" s="199"/>
      <c r="S8" s="199"/>
      <c r="T8" s="200"/>
    </row>
    <row r="9" spans="1:20" s="2" customFormat="1" ht="52.5" customHeight="1">
      <c r="A9" s="206"/>
      <c r="B9" s="4"/>
      <c r="C9" s="4"/>
      <c r="D9" s="4"/>
      <c r="E9" s="4"/>
      <c r="F9" s="4"/>
      <c r="G9" s="4"/>
      <c r="H9" s="4"/>
      <c r="J9" s="198"/>
      <c r="K9" s="199"/>
      <c r="L9" s="199"/>
      <c r="M9" s="199"/>
      <c r="N9" s="199"/>
      <c r="O9" s="199"/>
      <c r="P9" s="199"/>
      <c r="Q9" s="199"/>
      <c r="R9" s="199"/>
      <c r="S9" s="199"/>
      <c r="T9" s="200"/>
    </row>
    <row r="10" spans="1:20" s="2" customFormat="1" ht="52.5" customHeight="1">
      <c r="A10" s="204" t="s">
        <v>27</v>
      </c>
      <c r="B10" s="3" t="s">
        <v>28</v>
      </c>
      <c r="C10" s="3" t="s">
        <v>29</v>
      </c>
      <c r="D10" s="43">
        <v>4000</v>
      </c>
      <c r="E10" s="3" t="s">
        <v>30</v>
      </c>
      <c r="F10" s="59">
        <v>1</v>
      </c>
      <c r="G10" s="3" t="s">
        <v>31</v>
      </c>
      <c r="H10" s="59">
        <v>5</v>
      </c>
      <c r="J10" s="198"/>
      <c r="K10" s="199"/>
      <c r="L10" s="199"/>
      <c r="M10" s="199"/>
      <c r="N10" s="199"/>
      <c r="O10" s="199"/>
      <c r="P10" s="199"/>
      <c r="Q10" s="199"/>
      <c r="R10" s="199"/>
      <c r="S10" s="199"/>
      <c r="T10" s="200"/>
    </row>
    <row r="11" spans="1:20" s="2" customFormat="1" ht="52.5" customHeight="1">
      <c r="A11" s="204"/>
      <c r="B11" s="3" t="s">
        <v>32</v>
      </c>
      <c r="C11" s="3" t="s">
        <v>33</v>
      </c>
      <c r="D11" s="43">
        <v>2000</v>
      </c>
      <c r="E11" s="3" t="s">
        <v>34</v>
      </c>
      <c r="F11" s="59">
        <v>2</v>
      </c>
      <c r="G11" s="3" t="s">
        <v>21</v>
      </c>
      <c r="H11" s="59"/>
      <c r="J11" s="198"/>
      <c r="K11" s="199"/>
      <c r="L11" s="199"/>
      <c r="M11" s="199"/>
      <c r="N11" s="199"/>
      <c r="O11" s="199"/>
      <c r="P11" s="199"/>
      <c r="Q11" s="199"/>
      <c r="R11" s="199"/>
      <c r="S11" s="199"/>
      <c r="T11" s="200"/>
    </row>
    <row r="12" spans="1:20" s="2" customFormat="1" ht="52.5" customHeight="1">
      <c r="A12" s="204"/>
      <c r="B12" s="3" t="s">
        <v>35</v>
      </c>
      <c r="C12" s="5" t="s">
        <v>33</v>
      </c>
      <c r="D12" s="43">
        <v>6000</v>
      </c>
      <c r="E12" s="3" t="s">
        <v>34</v>
      </c>
      <c r="F12" s="59">
        <v>2</v>
      </c>
      <c r="G12" s="3" t="s">
        <v>21</v>
      </c>
      <c r="H12" s="59"/>
      <c r="J12" s="198"/>
      <c r="K12" s="199"/>
      <c r="L12" s="199"/>
      <c r="M12" s="199"/>
      <c r="N12" s="199"/>
      <c r="O12" s="199"/>
      <c r="P12" s="199"/>
      <c r="Q12" s="199"/>
      <c r="R12" s="199"/>
      <c r="S12" s="199"/>
      <c r="T12" s="200"/>
    </row>
    <row r="13" spans="1:20" s="2" customFormat="1" ht="52.5" customHeight="1">
      <c r="A13" s="204"/>
      <c r="B13" s="5" t="s">
        <v>36</v>
      </c>
      <c r="C13" s="63" t="s">
        <v>33</v>
      </c>
      <c r="D13" s="66">
        <v>1000</v>
      </c>
      <c r="E13" s="5" t="s">
        <v>34</v>
      </c>
      <c r="F13" s="60">
        <v>1</v>
      </c>
      <c r="G13" s="3" t="s">
        <v>37</v>
      </c>
      <c r="H13" s="60">
        <v>100</v>
      </c>
      <c r="J13" s="198"/>
      <c r="K13" s="199"/>
      <c r="L13" s="199"/>
      <c r="M13" s="199"/>
      <c r="N13" s="199"/>
      <c r="O13" s="199"/>
      <c r="P13" s="199"/>
      <c r="Q13" s="199"/>
      <c r="R13" s="199"/>
      <c r="S13" s="199"/>
      <c r="T13" s="200"/>
    </row>
    <row r="14" spans="1:20" s="2" customFormat="1" ht="52.5" customHeight="1" thickBot="1">
      <c r="A14" s="204"/>
      <c r="B14" s="3"/>
      <c r="C14" s="3"/>
      <c r="D14" s="43"/>
      <c r="E14" s="3"/>
      <c r="F14" s="59"/>
      <c r="G14" s="3"/>
      <c r="H14" s="59"/>
      <c r="J14" s="201"/>
      <c r="K14" s="202"/>
      <c r="L14" s="202"/>
      <c r="M14" s="202"/>
      <c r="N14" s="202"/>
      <c r="O14" s="202"/>
      <c r="P14" s="202"/>
      <c r="Q14" s="202"/>
      <c r="R14" s="202"/>
      <c r="S14" s="202"/>
      <c r="T14" s="203"/>
    </row>
    <row r="15" spans="1:20" s="2" customFormat="1" ht="52.5" customHeight="1">
      <c r="A15" s="204"/>
      <c r="B15" s="3"/>
      <c r="C15" s="3"/>
      <c r="D15" s="43"/>
      <c r="E15" s="3"/>
      <c r="F15" s="59"/>
      <c r="G15" s="3"/>
      <c r="H15" s="59"/>
    </row>
    <row r="16" spans="1:20" s="2" customFormat="1" ht="52.5" customHeight="1">
      <c r="A16" s="204"/>
      <c r="B16" s="4"/>
      <c r="C16" s="4"/>
      <c r="D16" s="4"/>
      <c r="E16" s="4"/>
      <c r="F16" s="4"/>
      <c r="G16" s="4"/>
      <c r="H16" s="4"/>
    </row>
    <row r="17" spans="1:8" s="2" customFormat="1" ht="95.25" customHeight="1">
      <c r="A17" s="187" t="s">
        <v>38</v>
      </c>
      <c r="B17" s="3" t="s">
        <v>39</v>
      </c>
      <c r="C17" s="3" t="s">
        <v>40</v>
      </c>
      <c r="D17" s="43">
        <v>2500</v>
      </c>
      <c r="E17" s="3" t="s">
        <v>41</v>
      </c>
      <c r="F17" s="59">
        <v>1</v>
      </c>
      <c r="G17" s="3" t="s">
        <v>37</v>
      </c>
      <c r="H17" s="59"/>
    </row>
    <row r="18" spans="1:8" s="2" customFormat="1" ht="95.25" customHeight="1">
      <c r="A18" s="188"/>
      <c r="B18" s="3"/>
      <c r="C18" s="3"/>
      <c r="D18" s="43"/>
      <c r="E18" s="3"/>
      <c r="F18" s="59"/>
      <c r="G18" s="3"/>
      <c r="H18" s="59"/>
    </row>
    <row r="19" spans="1:8" s="2" customFormat="1" ht="95.25" customHeight="1">
      <c r="A19" s="189"/>
      <c r="B19" s="3"/>
      <c r="C19" s="3"/>
      <c r="D19" s="43"/>
      <c r="E19" s="3"/>
      <c r="F19" s="59"/>
      <c r="G19" s="3"/>
      <c r="H19" s="59"/>
    </row>
    <row r="20" spans="1:8" s="2" customFormat="1" ht="52.5" customHeight="1">
      <c r="A20" s="190" t="s">
        <v>42</v>
      </c>
      <c r="B20" s="3" t="s">
        <v>43</v>
      </c>
      <c r="C20" s="3" t="s">
        <v>44</v>
      </c>
      <c r="D20" s="43">
        <f>SUM(D5:D13)*0.1</f>
        <v>2400</v>
      </c>
      <c r="E20" s="3" t="s">
        <v>30</v>
      </c>
      <c r="F20" s="59">
        <v>1</v>
      </c>
      <c r="G20" s="3" t="s">
        <v>37</v>
      </c>
      <c r="H20" s="59"/>
    </row>
    <row r="21" spans="1:8" s="2" customFormat="1" ht="52.5" customHeight="1">
      <c r="A21" s="190"/>
      <c r="B21" s="3" t="s">
        <v>45</v>
      </c>
      <c r="C21" s="3" t="s">
        <v>46</v>
      </c>
      <c r="D21" s="43">
        <f>D20*0.2</f>
        <v>480</v>
      </c>
      <c r="E21" s="3" t="s">
        <v>41</v>
      </c>
      <c r="F21" s="59">
        <v>1</v>
      </c>
      <c r="G21" s="3" t="s">
        <v>37</v>
      </c>
      <c r="H21" s="59"/>
    </row>
    <row r="22" spans="1:8" s="2" customFormat="1" ht="52.5" customHeight="1" thickBot="1">
      <c r="A22" s="191"/>
      <c r="B22" s="79"/>
      <c r="C22" s="79"/>
      <c r="D22" s="80"/>
      <c r="E22" s="79"/>
      <c r="F22" s="81"/>
      <c r="G22" s="79"/>
      <c r="H22" s="81"/>
    </row>
    <row r="23" spans="1:8" ht="21" customHeight="1">
      <c r="B23" s="67" t="s">
        <v>47</v>
      </c>
      <c r="D23" s="68">
        <f>SUM(D5:D22)</f>
        <v>29380</v>
      </c>
      <c r="E23" s="65"/>
      <c r="F23" s="13">
        <f>SUM(F5:F22)</f>
        <v>14</v>
      </c>
      <c r="G23" s="65"/>
      <c r="H23" s="13">
        <f>SUM(H5:H22)</f>
        <v>175</v>
      </c>
    </row>
  </sheetData>
  <mergeCells count="16">
    <mergeCell ref="J3:T3"/>
    <mergeCell ref="J4:T14"/>
    <mergeCell ref="A10:A16"/>
    <mergeCell ref="B3:B4"/>
    <mergeCell ref="A3:A4"/>
    <mergeCell ref="H3:H4"/>
    <mergeCell ref="G3:G4"/>
    <mergeCell ref="A5:A9"/>
    <mergeCell ref="D1:H1"/>
    <mergeCell ref="D3:D4"/>
    <mergeCell ref="E3:E4"/>
    <mergeCell ref="A17:A19"/>
    <mergeCell ref="A20:A22"/>
    <mergeCell ref="A1:C1"/>
    <mergeCell ref="F3:F4"/>
    <mergeCell ref="C3:C4"/>
  </mergeCells>
  <pageMargins left="0.7" right="0.7" top="0.75" bottom="0.75" header="0.3" footer="0.3"/>
  <pageSetup paperSize="9" orientation="portrait" horizontalDpi="360" verticalDpi="36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'INFO DE BASE'!$C$5:$C$24</xm:f>
          </x14:formula1>
          <xm:sqref>E17:E39 E5:E8 E10:E15</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6"/>
  <dimension ref="A1:T44"/>
  <sheetViews>
    <sheetView zoomScaleNormal="100" workbookViewId="0">
      <selection activeCell="C52" sqref="C52"/>
    </sheetView>
  </sheetViews>
  <sheetFormatPr defaultColWidth="11.42578125" defaultRowHeight="15"/>
  <cols>
    <col min="1" max="1" width="5.140625" customWidth="1"/>
    <col min="2" max="2" width="9.140625" style="6" customWidth="1"/>
    <col min="3" max="3" width="55" style="1" customWidth="1"/>
    <col min="4" max="4" width="17.42578125" style="12" customWidth="1"/>
    <col min="5" max="5" width="9.28515625" style="12" customWidth="1"/>
    <col min="6" max="6" width="14.5703125" style="12" customWidth="1"/>
    <col min="7" max="7" width="9.28515625" style="12" customWidth="1"/>
    <col min="8" max="8" width="23" style="15" customWidth="1"/>
    <col min="9" max="9" width="12.28515625" style="12" customWidth="1"/>
    <col min="10" max="10" width="9.28515625" style="12" customWidth="1"/>
    <col min="11" max="11" width="13.7109375" style="12" customWidth="1"/>
    <col min="12" max="12" width="12.7109375" style="12" customWidth="1"/>
    <col min="13" max="13" width="27.42578125" style="12" hidden="1" customWidth="1"/>
    <col min="14" max="14" width="4" customWidth="1"/>
    <col min="15" max="15" width="31.85546875" customWidth="1"/>
    <col min="16" max="16" width="15.28515625" customWidth="1"/>
    <col min="18" max="18" width="14.7109375" customWidth="1"/>
    <col min="19" max="19" width="13.5703125" customWidth="1"/>
    <col min="20" max="20" width="12" customWidth="1"/>
  </cols>
  <sheetData>
    <row r="1" spans="1:20" ht="33" customHeight="1" thickBot="1">
      <c r="A1" s="209" t="s">
        <v>48</v>
      </c>
      <c r="B1" s="210"/>
      <c r="C1" s="211"/>
      <c r="D1" s="217" t="str">
        <f>INTRODUCCIÓN!F10</f>
        <v>CIRCASIA</v>
      </c>
      <c r="E1" s="218"/>
      <c r="F1" s="218"/>
      <c r="G1" s="218"/>
      <c r="H1" s="218"/>
      <c r="I1" s="218"/>
      <c r="J1" s="218"/>
      <c r="K1" s="218"/>
      <c r="L1" s="219"/>
      <c r="M1" s="70"/>
      <c r="N1" s="57"/>
    </row>
    <row r="2" spans="1:20" ht="15.75" thickBot="1"/>
    <row r="3" spans="1:20" s="10" customFormat="1" ht="31.5" customHeight="1" thickBot="1">
      <c r="B3" s="214" t="s">
        <v>49</v>
      </c>
      <c r="C3" s="215"/>
      <c r="D3" s="215"/>
      <c r="E3" s="215"/>
      <c r="F3" s="215"/>
      <c r="G3" s="215"/>
      <c r="H3" s="216"/>
      <c r="I3" s="214" t="s">
        <v>50</v>
      </c>
      <c r="J3" s="215"/>
      <c r="K3" s="215"/>
      <c r="L3" s="216"/>
      <c r="M3" s="146"/>
      <c r="O3" s="212" t="s">
        <v>51</v>
      </c>
      <c r="P3" s="213"/>
    </row>
    <row r="4" spans="1:20" ht="30.75" customHeight="1" thickBot="1">
      <c r="B4" s="31" t="s">
        <v>52</v>
      </c>
      <c r="C4" s="32" t="s">
        <v>53</v>
      </c>
      <c r="D4" s="83" t="s">
        <v>54</v>
      </c>
      <c r="E4" s="86" t="s">
        <v>55</v>
      </c>
      <c r="F4" s="97" t="s">
        <v>56</v>
      </c>
      <c r="G4" s="87" t="s">
        <v>57</v>
      </c>
      <c r="H4" s="33" t="s">
        <v>58</v>
      </c>
      <c r="I4" s="85" t="s">
        <v>59</v>
      </c>
      <c r="J4" s="86" t="s">
        <v>60</v>
      </c>
      <c r="K4" s="84" t="s">
        <v>61</v>
      </c>
      <c r="L4" s="87" t="s">
        <v>62</v>
      </c>
      <c r="M4" s="77" t="s">
        <v>63</v>
      </c>
      <c r="O4" s="27" t="s">
        <v>64</v>
      </c>
      <c r="P4" s="95">
        <v>30655</v>
      </c>
    </row>
    <row r="5" spans="1:20" ht="21.75" customHeight="1" thickBot="1">
      <c r="B5" s="29" t="s">
        <v>65</v>
      </c>
      <c r="C5" s="30" t="s">
        <v>25</v>
      </c>
      <c r="D5" s="89">
        <v>93958203</v>
      </c>
      <c r="E5" s="98">
        <f>D5/$D$25</f>
        <v>3.9638420708932604E-3</v>
      </c>
      <c r="F5" s="37">
        <f>SUMIF('CADENA DE VALOR'!$E$5:$E$21,'INFO DE BASE'!C5,'CADENA DE VALOR'!$D$5:$D$21)</f>
        <v>5000</v>
      </c>
      <c r="G5" s="38">
        <f>F5/$F$25</f>
        <v>0.17018379850238258</v>
      </c>
      <c r="H5" s="34">
        <f t="shared" ref="H5:H24" si="0">E5*G5*100</f>
        <v>6.7458170028816544E-2</v>
      </c>
      <c r="I5" s="92">
        <v>10</v>
      </c>
      <c r="J5" s="98">
        <f>I5/$I$25</f>
        <v>1.3623978201634877E-2</v>
      </c>
      <c r="K5" s="37">
        <f>SUMIF('CADENA DE VALOR'!$E$5:$E$21,'INFO DE BASE'!C5,'CADENA DE VALOR'!$H$5:$H$21)</f>
        <v>20</v>
      </c>
      <c r="L5" s="38">
        <f>K5/$K$25</f>
        <v>0.11428571428571428</v>
      </c>
      <c r="M5" s="34">
        <f>J5*L5*100</f>
        <v>0.1557026080186843</v>
      </c>
      <c r="O5" s="28" t="s">
        <v>66</v>
      </c>
      <c r="P5" s="96">
        <v>8994</v>
      </c>
    </row>
    <row r="6" spans="1:20">
      <c r="B6" s="24" t="s">
        <v>67</v>
      </c>
      <c r="C6" s="14" t="s">
        <v>68</v>
      </c>
      <c r="D6" s="90">
        <v>0</v>
      </c>
      <c r="E6" s="99">
        <f t="shared" ref="E6:E24" si="1">D6/$D$25</f>
        <v>0</v>
      </c>
      <c r="F6" s="39">
        <f>SUMIF('CADENA DE VALOR'!$E$5:$E$21,'INFO DE BASE'!C6,'CADENA DE VALOR'!$D$5:$D$21)</f>
        <v>0</v>
      </c>
      <c r="G6" s="40">
        <f t="shared" ref="G6:G24" si="2">F6/$F$25</f>
        <v>0</v>
      </c>
      <c r="H6" s="35">
        <f t="shared" si="0"/>
        <v>0</v>
      </c>
      <c r="I6" s="93">
        <v>0</v>
      </c>
      <c r="J6" s="98">
        <f t="shared" ref="J6:J24" si="3">I6/$I$25</f>
        <v>0</v>
      </c>
      <c r="K6" s="37">
        <f>SUMIF('CADENA DE VALOR'!$E$5:$E$21,'INFO DE BASE'!C6,'CADENA DE VALOR'!$H$5:$H$21)</f>
        <v>0</v>
      </c>
      <c r="L6" s="38">
        <f t="shared" ref="L6:L24" si="4">K6/$K$25</f>
        <v>0</v>
      </c>
      <c r="M6" s="34">
        <f t="shared" ref="M6:M24" si="5">J6*L6*100</f>
        <v>0</v>
      </c>
    </row>
    <row r="7" spans="1:20" ht="21.75" customHeight="1" thickBot="1">
      <c r="B7" s="24" t="s">
        <v>69</v>
      </c>
      <c r="C7" s="14" t="s">
        <v>34</v>
      </c>
      <c r="D7" s="90">
        <v>1430775589</v>
      </c>
      <c r="E7" s="99">
        <f t="shared" si="1"/>
        <v>6.0360546419616863E-2</v>
      </c>
      <c r="F7" s="39">
        <f>SUMIF('CADENA DE VALOR'!$E$5:$E$21,'INFO DE BASE'!C7,'CADENA DE VALOR'!$D$5:$D$21)</f>
        <v>9000</v>
      </c>
      <c r="G7" s="40">
        <f t="shared" si="2"/>
        <v>0.30633083730428862</v>
      </c>
      <c r="H7" s="35">
        <f t="shared" si="0"/>
        <v>1.8490296724865616</v>
      </c>
      <c r="I7" s="93">
        <v>52</v>
      </c>
      <c r="J7" s="98">
        <f t="shared" si="3"/>
        <v>7.0844686648501368E-2</v>
      </c>
      <c r="K7" s="37">
        <f>SUMIF('CADENA DE VALOR'!$E$5:$E$21,'INFO DE BASE'!C7,'CADENA DE VALOR'!$H$5:$H$21)</f>
        <v>100</v>
      </c>
      <c r="L7" s="38">
        <f t="shared" si="4"/>
        <v>0.5714285714285714</v>
      </c>
      <c r="M7" s="34">
        <f t="shared" si="5"/>
        <v>4.0482678084857922</v>
      </c>
    </row>
    <row r="8" spans="1:20" ht="23.25" customHeight="1" thickBot="1">
      <c r="B8" s="24" t="s">
        <v>70</v>
      </c>
      <c r="C8" s="14" t="s">
        <v>71</v>
      </c>
      <c r="D8" s="90">
        <v>38400000</v>
      </c>
      <c r="E8" s="99">
        <f t="shared" si="1"/>
        <v>1.6199919822040573E-3</v>
      </c>
      <c r="F8" s="39">
        <f>SUMIF('CADENA DE VALOR'!$E$5:$E$21,'INFO DE BASE'!C8,'CADENA DE VALOR'!$D$5:$D$21)</f>
        <v>0</v>
      </c>
      <c r="G8" s="40">
        <f t="shared" si="2"/>
        <v>0</v>
      </c>
      <c r="H8" s="35">
        <f t="shared" si="0"/>
        <v>0</v>
      </c>
      <c r="I8" s="93">
        <v>1</v>
      </c>
      <c r="J8" s="98">
        <f t="shared" si="3"/>
        <v>1.3623978201634877E-3</v>
      </c>
      <c r="K8" s="37">
        <f>SUMIF('CADENA DE VALOR'!$E$5:$E$21,'INFO DE BASE'!C8,'CADENA DE VALOR'!$H$5:$H$21)</f>
        <v>0</v>
      </c>
      <c r="L8" s="38">
        <f t="shared" si="4"/>
        <v>0</v>
      </c>
      <c r="M8" s="34">
        <f t="shared" si="5"/>
        <v>0</v>
      </c>
      <c r="O8" s="220" t="s">
        <v>15</v>
      </c>
      <c r="P8" s="221"/>
    </row>
    <row r="9" spans="1:20" ht="45">
      <c r="B9" s="24" t="s">
        <v>72</v>
      </c>
      <c r="C9" s="14" t="s">
        <v>73</v>
      </c>
      <c r="D9" s="90">
        <v>9325000</v>
      </c>
      <c r="E9" s="99">
        <f t="shared" si="1"/>
        <v>3.933964904701259E-4</v>
      </c>
      <c r="F9" s="39">
        <f>SUMIF('CADENA DE VALOR'!$E$5:$E$21,'INFO DE BASE'!C9,'CADENA DE VALOR'!$D$5:$D$21)</f>
        <v>0</v>
      </c>
      <c r="G9" s="40">
        <f t="shared" si="2"/>
        <v>0</v>
      </c>
      <c r="H9" s="35">
        <f t="shared" si="0"/>
        <v>0</v>
      </c>
      <c r="I9" s="93">
        <v>3</v>
      </c>
      <c r="J9" s="98">
        <f t="shared" si="3"/>
        <v>4.0871934604904629E-3</v>
      </c>
      <c r="K9" s="37">
        <f>SUMIF('CADENA DE VALOR'!$E$5:$E$21,'INFO DE BASE'!C9,'CADENA DE VALOR'!$H$5:$H$21)</f>
        <v>0</v>
      </c>
      <c r="L9" s="38">
        <f t="shared" si="4"/>
        <v>0</v>
      </c>
      <c r="M9" s="34">
        <f t="shared" si="5"/>
        <v>0</v>
      </c>
      <c r="O9" s="222" t="s">
        <v>74</v>
      </c>
      <c r="P9" s="223"/>
    </row>
    <row r="10" spans="1:20">
      <c r="B10" s="24" t="s">
        <v>75</v>
      </c>
      <c r="C10" s="14" t="s">
        <v>76</v>
      </c>
      <c r="D10" s="90">
        <v>4249344715</v>
      </c>
      <c r="E10" s="99">
        <f t="shared" si="1"/>
        <v>0.17926834291461419</v>
      </c>
      <c r="F10" s="39">
        <f>SUMIF('CADENA DE VALOR'!$E$5:$E$21,'INFO DE BASE'!C10,'CADENA DE VALOR'!$D$5:$D$21)</f>
        <v>0</v>
      </c>
      <c r="G10" s="40">
        <f t="shared" si="2"/>
        <v>0</v>
      </c>
      <c r="H10" s="35">
        <f t="shared" si="0"/>
        <v>0</v>
      </c>
      <c r="I10" s="93">
        <v>25</v>
      </c>
      <c r="J10" s="98">
        <f t="shared" si="3"/>
        <v>3.4059945504087197E-2</v>
      </c>
      <c r="K10" s="37">
        <f>SUMIF('CADENA DE VALOR'!$E$5:$E$21,'INFO DE BASE'!C10,'CADENA DE VALOR'!$H$5:$H$21)</f>
        <v>0</v>
      </c>
      <c r="L10" s="38">
        <f t="shared" si="4"/>
        <v>0</v>
      </c>
      <c r="M10" s="34">
        <f t="shared" si="5"/>
        <v>0</v>
      </c>
      <c r="O10" s="224"/>
      <c r="P10" s="225"/>
    </row>
    <row r="11" spans="1:20" ht="30">
      <c r="B11" s="24" t="s">
        <v>77</v>
      </c>
      <c r="C11" s="14" t="s">
        <v>30</v>
      </c>
      <c r="D11" s="90">
        <v>7602828219</v>
      </c>
      <c r="E11" s="99">
        <f t="shared" si="1"/>
        <v>0.32074272804309251</v>
      </c>
      <c r="F11" s="39">
        <f>SUMIF('CADENA DE VALOR'!$E$5:$E$21,'INFO DE BASE'!C11,'CADENA DE VALOR'!$D$5:$D$21)</f>
        <v>6400</v>
      </c>
      <c r="G11" s="40">
        <f t="shared" si="2"/>
        <v>0.21783526208304968</v>
      </c>
      <c r="H11" s="35">
        <f t="shared" si="0"/>
        <v>6.9869076224499382</v>
      </c>
      <c r="I11" s="93">
        <v>377</v>
      </c>
      <c r="J11" s="98">
        <f t="shared" si="3"/>
        <v>0.51362397820163486</v>
      </c>
      <c r="K11" s="37">
        <f>SUMIF('CADENA DE VALOR'!$E$5:$E$21,'INFO DE BASE'!C11,'CADENA DE VALOR'!$H$5:$H$21)</f>
        <v>5</v>
      </c>
      <c r="L11" s="38">
        <f t="shared" si="4"/>
        <v>2.8571428571428571E-2</v>
      </c>
      <c r="M11" s="34">
        <f t="shared" si="5"/>
        <v>1.4674970805760994</v>
      </c>
      <c r="O11" s="224"/>
      <c r="P11" s="225"/>
    </row>
    <row r="12" spans="1:20">
      <c r="B12" s="24" t="s">
        <v>78</v>
      </c>
      <c r="C12" s="14" t="s">
        <v>79</v>
      </c>
      <c r="D12" s="90">
        <v>1130479429</v>
      </c>
      <c r="E12" s="99">
        <f t="shared" si="1"/>
        <v>4.7691864870484921E-2</v>
      </c>
      <c r="F12" s="39">
        <f>SUMIF('CADENA DE VALOR'!$E$5:$E$21,'INFO DE BASE'!C12,'CADENA DE VALOR'!$D$5:$D$21)</f>
        <v>0</v>
      </c>
      <c r="G12" s="40">
        <f t="shared" si="2"/>
        <v>0</v>
      </c>
      <c r="H12" s="35">
        <f t="shared" si="0"/>
        <v>0</v>
      </c>
      <c r="I12" s="93">
        <v>16</v>
      </c>
      <c r="J12" s="98">
        <f t="shared" si="3"/>
        <v>2.1798365122615803E-2</v>
      </c>
      <c r="K12" s="37">
        <f>SUMIF('CADENA DE VALOR'!$E$5:$E$21,'INFO DE BASE'!C12,'CADENA DE VALOR'!$H$5:$H$21)</f>
        <v>0</v>
      </c>
      <c r="L12" s="38">
        <f t="shared" si="4"/>
        <v>0</v>
      </c>
      <c r="M12" s="34">
        <f t="shared" si="5"/>
        <v>0</v>
      </c>
      <c r="O12" s="224"/>
      <c r="P12" s="225"/>
    </row>
    <row r="13" spans="1:20">
      <c r="B13" s="24" t="s">
        <v>80</v>
      </c>
      <c r="C13" s="14" t="s">
        <v>81</v>
      </c>
      <c r="D13" s="90">
        <v>8056090741</v>
      </c>
      <c r="E13" s="99">
        <f t="shared" si="1"/>
        <v>0.33986464605021727</v>
      </c>
      <c r="F13" s="39">
        <f>SUMIF('CADENA DE VALOR'!$E$5:$E$21,'INFO DE BASE'!C13,'CADENA DE VALOR'!$D$5:$D$21)</f>
        <v>0</v>
      </c>
      <c r="G13" s="40">
        <f t="shared" si="2"/>
        <v>0</v>
      </c>
      <c r="H13" s="35">
        <f t="shared" si="0"/>
        <v>0</v>
      </c>
      <c r="I13" s="93">
        <v>146</v>
      </c>
      <c r="J13" s="98">
        <f t="shared" si="3"/>
        <v>0.1989100817438692</v>
      </c>
      <c r="K13" s="37">
        <f>SUMIF('CADENA DE VALOR'!$E$5:$E$21,'INFO DE BASE'!C13,'CADENA DE VALOR'!$H$5:$H$21)</f>
        <v>0</v>
      </c>
      <c r="L13" s="38">
        <f t="shared" si="4"/>
        <v>0</v>
      </c>
      <c r="M13" s="34">
        <f t="shared" si="5"/>
        <v>0</v>
      </c>
      <c r="O13" s="224"/>
      <c r="P13" s="225"/>
      <c r="R13" s="46"/>
      <c r="S13" s="46"/>
      <c r="T13" s="46"/>
    </row>
    <row r="14" spans="1:20">
      <c r="B14" s="24" t="s">
        <v>82</v>
      </c>
      <c r="C14" s="14" t="s">
        <v>83</v>
      </c>
      <c r="D14" s="90">
        <v>274367440</v>
      </c>
      <c r="E14" s="99">
        <f t="shared" si="1"/>
        <v>1.1574819087964915E-2</v>
      </c>
      <c r="F14" s="39">
        <f>SUMIF('CADENA DE VALOR'!$E$5:$E$21,'INFO DE BASE'!C14,'CADENA DE VALOR'!$D$5:$D$21)</f>
        <v>0</v>
      </c>
      <c r="G14" s="40">
        <f t="shared" si="2"/>
        <v>0</v>
      </c>
      <c r="H14" s="35">
        <f t="shared" si="0"/>
        <v>0</v>
      </c>
      <c r="I14" s="93">
        <v>10</v>
      </c>
      <c r="J14" s="98">
        <f t="shared" si="3"/>
        <v>1.3623978201634877E-2</v>
      </c>
      <c r="K14" s="37">
        <f>SUMIF('CADENA DE VALOR'!$E$5:$E$21,'INFO DE BASE'!C14,'CADENA DE VALOR'!$H$5:$H$21)</f>
        <v>0</v>
      </c>
      <c r="L14" s="38">
        <f t="shared" si="4"/>
        <v>0</v>
      </c>
      <c r="M14" s="34">
        <f t="shared" si="5"/>
        <v>0</v>
      </c>
      <c r="O14" s="224"/>
      <c r="P14" s="225"/>
    </row>
    <row r="15" spans="1:20">
      <c r="B15" s="24" t="s">
        <v>84</v>
      </c>
      <c r="C15" s="14" t="s">
        <v>85</v>
      </c>
      <c r="D15" s="90">
        <v>26870000</v>
      </c>
      <c r="E15" s="99">
        <f t="shared" si="1"/>
        <v>1.1335725146308078E-3</v>
      </c>
      <c r="F15" s="39">
        <f>SUMIF('CADENA DE VALOR'!$E$5:$E$21,'INFO DE BASE'!C15,'CADENA DE VALOR'!$D$5:$D$21)</f>
        <v>0</v>
      </c>
      <c r="G15" s="40">
        <f t="shared" si="2"/>
        <v>0</v>
      </c>
      <c r="H15" s="35">
        <f t="shared" si="0"/>
        <v>0</v>
      </c>
      <c r="I15" s="93">
        <v>6</v>
      </c>
      <c r="J15" s="98">
        <f t="shared" si="3"/>
        <v>8.1743869209809257E-3</v>
      </c>
      <c r="K15" s="37">
        <f>SUMIF('CADENA DE VALOR'!$E$5:$E$21,'INFO DE BASE'!C15,'CADENA DE VALOR'!$H$5:$H$21)</f>
        <v>0</v>
      </c>
      <c r="L15" s="38">
        <f t="shared" si="4"/>
        <v>0</v>
      </c>
      <c r="M15" s="34">
        <f t="shared" si="5"/>
        <v>0</v>
      </c>
      <c r="O15" s="224"/>
      <c r="P15" s="225"/>
    </row>
    <row r="16" spans="1:20">
      <c r="B16" s="24" t="s">
        <v>86</v>
      </c>
      <c r="C16" s="14" t="s">
        <v>87</v>
      </c>
      <c r="D16" s="90">
        <v>59179000</v>
      </c>
      <c r="E16" s="99">
        <f t="shared" si="1"/>
        <v>2.4966017061159871E-3</v>
      </c>
      <c r="F16" s="39">
        <f>SUMIF('CADENA DE VALOR'!$E$5:$E$21,'INFO DE BASE'!C16,'CADENA DE VALOR'!$D$5:$D$21)</f>
        <v>0</v>
      </c>
      <c r="G16" s="40">
        <f t="shared" si="2"/>
        <v>0</v>
      </c>
      <c r="H16" s="35">
        <f t="shared" si="0"/>
        <v>0</v>
      </c>
      <c r="I16" s="93">
        <v>7</v>
      </c>
      <c r="J16" s="98">
        <f t="shared" si="3"/>
        <v>9.5367847411444145E-3</v>
      </c>
      <c r="K16" s="37">
        <f>SUMIF('CADENA DE VALOR'!$E$5:$E$21,'INFO DE BASE'!C16,'CADENA DE VALOR'!$H$5:$H$21)</f>
        <v>0</v>
      </c>
      <c r="L16" s="38">
        <f t="shared" si="4"/>
        <v>0</v>
      </c>
      <c r="M16" s="34">
        <f t="shared" si="5"/>
        <v>0</v>
      </c>
      <c r="O16" s="224"/>
      <c r="P16" s="225"/>
    </row>
    <row r="17" spans="1:16">
      <c r="B17" s="24" t="s">
        <v>88</v>
      </c>
      <c r="C17" s="14" t="s">
        <v>20</v>
      </c>
      <c r="D17" s="90">
        <v>477982754</v>
      </c>
      <c r="E17" s="99">
        <f t="shared" si="1"/>
        <v>2.0164797633120166E-2</v>
      </c>
      <c r="F17" s="39">
        <f>SUMIF('CADENA DE VALOR'!$E$5:$E$21,'INFO DE BASE'!C17,'CADENA DE VALOR'!$D$5:$D$21)</f>
        <v>6000</v>
      </c>
      <c r="G17" s="40">
        <f t="shared" si="2"/>
        <v>0.20422055820285909</v>
      </c>
      <c r="H17" s="35">
        <f t="shared" si="0"/>
        <v>0.41180662286834924</v>
      </c>
      <c r="I17" s="93">
        <v>12</v>
      </c>
      <c r="J17" s="98">
        <f t="shared" si="3"/>
        <v>1.6348773841961851E-2</v>
      </c>
      <c r="K17" s="37">
        <f>SUMIF('CADENA DE VALOR'!$E$5:$E$21,'INFO DE BASE'!C17,'CADENA DE VALOR'!$H$5:$H$21)</f>
        <v>50</v>
      </c>
      <c r="L17" s="38">
        <f t="shared" si="4"/>
        <v>0.2857142857142857</v>
      </c>
      <c r="M17" s="34">
        <f t="shared" si="5"/>
        <v>0.46710782405605283</v>
      </c>
      <c r="O17" s="224"/>
      <c r="P17" s="225"/>
    </row>
    <row r="18" spans="1:16">
      <c r="B18" s="24" t="s">
        <v>89</v>
      </c>
      <c r="C18" s="14" t="s">
        <v>41</v>
      </c>
      <c r="D18" s="90">
        <v>22000000</v>
      </c>
      <c r="E18" s="99">
        <f t="shared" si="1"/>
        <v>9.2812040647107452E-4</v>
      </c>
      <c r="F18" s="39">
        <f>SUMIF('CADENA DE VALOR'!$E$5:$E$21,'INFO DE BASE'!C18,'CADENA DE VALOR'!$D$5:$D$21)</f>
        <v>2980</v>
      </c>
      <c r="G18" s="40">
        <f t="shared" si="2"/>
        <v>0.10142954390742001</v>
      </c>
      <c r="H18" s="35">
        <f t="shared" si="0"/>
        <v>9.4138829519530356E-3</v>
      </c>
      <c r="I18" s="93">
        <v>9</v>
      </c>
      <c r="J18" s="98">
        <f t="shared" si="3"/>
        <v>1.226158038147139E-2</v>
      </c>
      <c r="K18" s="37">
        <f>SUMIF('CADENA DE VALOR'!$E$5:$E$21,'INFO DE BASE'!C18,'CADENA DE VALOR'!$H$5:$H$21)</f>
        <v>0</v>
      </c>
      <c r="L18" s="38">
        <f t="shared" si="4"/>
        <v>0</v>
      </c>
      <c r="M18" s="34">
        <f t="shared" si="5"/>
        <v>0</v>
      </c>
      <c r="O18" s="224"/>
      <c r="P18" s="225"/>
    </row>
    <row r="19" spans="1:16" ht="30">
      <c r="B19" s="24" t="s">
        <v>90</v>
      </c>
      <c r="C19" s="14" t="s">
        <v>91</v>
      </c>
      <c r="D19" s="90">
        <v>0</v>
      </c>
      <c r="E19" s="99">
        <f t="shared" si="1"/>
        <v>0</v>
      </c>
      <c r="F19" s="39">
        <f>SUMIF('CADENA DE VALOR'!$E$5:$E$21,'INFO DE BASE'!C19,'CADENA DE VALOR'!$D$5:$D$21)</f>
        <v>0</v>
      </c>
      <c r="G19" s="40">
        <f t="shared" si="2"/>
        <v>0</v>
      </c>
      <c r="H19" s="35">
        <f t="shared" si="0"/>
        <v>0</v>
      </c>
      <c r="I19" s="93">
        <v>0</v>
      </c>
      <c r="J19" s="98">
        <f t="shared" si="3"/>
        <v>0</v>
      </c>
      <c r="K19" s="37">
        <f>SUMIF('CADENA DE VALOR'!$E$5:$E$21,'INFO DE BASE'!C19,'CADENA DE VALOR'!$H$5:$H$21)</f>
        <v>0</v>
      </c>
      <c r="L19" s="38">
        <f t="shared" si="4"/>
        <v>0</v>
      </c>
      <c r="M19" s="34">
        <f t="shared" si="5"/>
        <v>0</v>
      </c>
      <c r="O19" s="224"/>
      <c r="P19" s="225"/>
    </row>
    <row r="20" spans="1:16">
      <c r="B20" s="24" t="s">
        <v>92</v>
      </c>
      <c r="C20" s="14" t="s">
        <v>93</v>
      </c>
      <c r="D20" s="90">
        <v>3000000</v>
      </c>
      <c r="E20" s="99">
        <f t="shared" si="1"/>
        <v>1.2656187360969199E-4</v>
      </c>
      <c r="F20" s="39">
        <f>SUMIF('CADENA DE VALOR'!$E$5:$E$21,'INFO DE BASE'!C20,'CADENA DE VALOR'!$D$5:$D$21)</f>
        <v>0</v>
      </c>
      <c r="G20" s="40">
        <f t="shared" si="2"/>
        <v>0</v>
      </c>
      <c r="H20" s="35">
        <f t="shared" si="0"/>
        <v>0</v>
      </c>
      <c r="I20" s="93">
        <v>2</v>
      </c>
      <c r="J20" s="98">
        <f t="shared" si="3"/>
        <v>2.7247956403269754E-3</v>
      </c>
      <c r="K20" s="37">
        <f>SUMIF('CADENA DE VALOR'!$E$5:$E$21,'INFO DE BASE'!C20,'CADENA DE VALOR'!$H$5:$H$21)</f>
        <v>0</v>
      </c>
      <c r="L20" s="38">
        <f t="shared" si="4"/>
        <v>0</v>
      </c>
      <c r="M20" s="34">
        <f t="shared" si="5"/>
        <v>0</v>
      </c>
      <c r="O20" s="224"/>
      <c r="P20" s="225"/>
    </row>
    <row r="21" spans="1:16" ht="30">
      <c r="B21" s="24" t="s">
        <v>94</v>
      </c>
      <c r="C21" s="14" t="s">
        <v>95</v>
      </c>
      <c r="D21" s="90">
        <v>13953830</v>
      </c>
      <c r="E21" s="99">
        <f t="shared" si="1"/>
        <v>5.8867428961037612E-4</v>
      </c>
      <c r="F21" s="39">
        <f>SUMIF('CADENA DE VALOR'!$E$5:$E$21,'INFO DE BASE'!C21,'CADENA DE VALOR'!$D$5:$D$21)</f>
        <v>0</v>
      </c>
      <c r="G21" s="40">
        <f t="shared" si="2"/>
        <v>0</v>
      </c>
      <c r="H21" s="35">
        <f t="shared" si="0"/>
        <v>0</v>
      </c>
      <c r="I21" s="93">
        <v>2</v>
      </c>
      <c r="J21" s="98">
        <f t="shared" si="3"/>
        <v>2.7247956403269754E-3</v>
      </c>
      <c r="K21" s="37">
        <f>SUMIF('CADENA DE VALOR'!$E$5:$E$21,'INFO DE BASE'!C21,'CADENA DE VALOR'!$H$5:$H$21)</f>
        <v>0</v>
      </c>
      <c r="L21" s="38">
        <f t="shared" si="4"/>
        <v>0</v>
      </c>
      <c r="M21" s="34">
        <f t="shared" si="5"/>
        <v>0</v>
      </c>
      <c r="O21" s="224"/>
      <c r="P21" s="225"/>
    </row>
    <row r="22" spans="1:16">
      <c r="B22" s="24" t="s">
        <v>96</v>
      </c>
      <c r="C22" s="14" t="s">
        <v>97</v>
      </c>
      <c r="D22" s="90">
        <v>91573300</v>
      </c>
      <c r="E22" s="99">
        <f t="shared" si="1"/>
        <v>3.8632294735408022E-3</v>
      </c>
      <c r="F22" s="39">
        <f>SUMIF('CADENA DE VALOR'!$E$5:$E$21,'INFO DE BASE'!C22,'CADENA DE VALOR'!$D$5:$D$21)</f>
        <v>0</v>
      </c>
      <c r="G22" s="40">
        <f t="shared" si="2"/>
        <v>0</v>
      </c>
      <c r="H22" s="35">
        <f t="shared" si="0"/>
        <v>0</v>
      </c>
      <c r="I22" s="93">
        <v>13</v>
      </c>
      <c r="J22" s="98">
        <f t="shared" si="3"/>
        <v>1.7711171662125342E-2</v>
      </c>
      <c r="K22" s="37">
        <f>SUMIF('CADENA DE VALOR'!$E$5:$E$21,'INFO DE BASE'!C22,'CADENA DE VALOR'!$H$5:$H$21)</f>
        <v>0</v>
      </c>
      <c r="L22" s="38">
        <f t="shared" si="4"/>
        <v>0</v>
      </c>
      <c r="M22" s="34">
        <f t="shared" si="5"/>
        <v>0</v>
      </c>
      <c r="O22" s="224"/>
      <c r="P22" s="225"/>
    </row>
    <row r="23" spans="1:16">
      <c r="B23" s="24" t="s">
        <v>98</v>
      </c>
      <c r="C23" s="14" t="s">
        <v>99</v>
      </c>
      <c r="D23" s="90">
        <v>123692800</v>
      </c>
      <c r="E23" s="99">
        <f t="shared" si="1"/>
        <v>5.2182641733429696E-3</v>
      </c>
      <c r="F23" s="39">
        <f>SUMIF('CADENA DE VALOR'!$E$5:$E$21,'INFO DE BASE'!C23,'CADENA DE VALOR'!$D$5:$D$21)</f>
        <v>0</v>
      </c>
      <c r="G23" s="40">
        <f t="shared" si="2"/>
        <v>0</v>
      </c>
      <c r="H23" s="35">
        <f t="shared" si="0"/>
        <v>0</v>
      </c>
      <c r="I23" s="93">
        <v>43</v>
      </c>
      <c r="J23" s="98">
        <f t="shared" si="3"/>
        <v>5.858310626702997E-2</v>
      </c>
      <c r="K23" s="37">
        <f>SUMIF('CADENA DE VALOR'!$E$5:$E$21,'INFO DE BASE'!C23,'CADENA DE VALOR'!$H$5:$H$21)</f>
        <v>0</v>
      </c>
      <c r="L23" s="38">
        <f t="shared" si="4"/>
        <v>0</v>
      </c>
      <c r="M23" s="34">
        <f t="shared" si="5"/>
        <v>0</v>
      </c>
      <c r="O23" s="224"/>
      <c r="P23" s="225"/>
    </row>
    <row r="24" spans="1:16" ht="30.75" thickBot="1">
      <c r="B24" s="25" t="s">
        <v>100</v>
      </c>
      <c r="C24" s="26" t="s">
        <v>101</v>
      </c>
      <c r="D24" s="91">
        <v>0</v>
      </c>
      <c r="E24" s="100">
        <f t="shared" si="1"/>
        <v>0</v>
      </c>
      <c r="F24" s="41">
        <f>SUMIF('CADENA DE VALOR'!$E$5:$E$21,'INFO DE BASE'!C24,'CADENA DE VALOR'!$D$5:$D$21)</f>
        <v>0</v>
      </c>
      <c r="G24" s="42">
        <f t="shared" si="2"/>
        <v>0</v>
      </c>
      <c r="H24" s="36">
        <f t="shared" si="0"/>
        <v>0</v>
      </c>
      <c r="I24" s="94">
        <v>0</v>
      </c>
      <c r="J24" s="98">
        <f t="shared" si="3"/>
        <v>0</v>
      </c>
      <c r="K24" s="37">
        <f>SUMIF('CADENA DE VALOR'!$E$5:$E$21,'INFO DE BASE'!C24,'CADENA DE VALOR'!$H$5:$H$21)</f>
        <v>0</v>
      </c>
      <c r="L24" s="38">
        <f t="shared" si="4"/>
        <v>0</v>
      </c>
      <c r="M24" s="34">
        <f t="shared" si="5"/>
        <v>0</v>
      </c>
      <c r="O24" s="226"/>
      <c r="P24" s="227"/>
    </row>
    <row r="25" spans="1:16" ht="15.75">
      <c r="D25" s="69">
        <f t="shared" ref="D25:M25" si="6">SUM(D5:D24)</f>
        <v>23703821020</v>
      </c>
      <c r="E25" s="16">
        <f t="shared" si="6"/>
        <v>0.99999999999999989</v>
      </c>
      <c r="F25" s="11">
        <f t="shared" si="6"/>
        <v>29380</v>
      </c>
      <c r="G25" s="17">
        <f t="shared" si="6"/>
        <v>1</v>
      </c>
      <c r="H25" s="72">
        <f t="shared" si="6"/>
        <v>9.3246159707856187</v>
      </c>
      <c r="I25" s="11">
        <f t="shared" si="6"/>
        <v>734</v>
      </c>
      <c r="J25" s="16">
        <f t="shared" si="6"/>
        <v>1</v>
      </c>
      <c r="K25" s="71">
        <f t="shared" si="6"/>
        <v>175</v>
      </c>
      <c r="L25" s="17">
        <f t="shared" si="6"/>
        <v>1</v>
      </c>
      <c r="M25" s="72">
        <f t="shared" si="6"/>
        <v>6.1385753211366287</v>
      </c>
    </row>
    <row r="26" spans="1:16">
      <c r="M26" s="78" t="str">
        <f>IF(M25&lt;2.5,"BAJO",IF(M25&lt;5,"MEDIO",IF(M25&lt;7.5,"ALTO","MUY ALTO")))</f>
        <v>ALTO</v>
      </c>
    </row>
    <row r="27" spans="1:16" ht="12.75" customHeight="1"/>
    <row r="28" spans="1:16" ht="27" customHeight="1">
      <c r="A28" s="207"/>
      <c r="B28" s="207"/>
      <c r="C28" s="207"/>
      <c r="D28" s="207"/>
      <c r="E28" s="207"/>
      <c r="F28" s="207"/>
      <c r="G28" s="207"/>
      <c r="H28" s="207"/>
      <c r="I28" s="207"/>
      <c r="J28" s="207"/>
      <c r="K28" s="207"/>
      <c r="L28" s="207"/>
      <c r="M28" s="207"/>
      <c r="N28" s="207"/>
      <c r="O28" s="207"/>
      <c r="P28" s="207"/>
    </row>
    <row r="29" spans="1:16" ht="23.25" hidden="1" customHeight="1">
      <c r="C29" s="208" t="s">
        <v>102</v>
      </c>
      <c r="D29" s="208"/>
      <c r="E29" s="208"/>
      <c r="F29" s="208"/>
      <c r="G29" s="208"/>
      <c r="H29" s="208"/>
      <c r="I29" s="208"/>
      <c r="J29" s="208"/>
      <c r="K29" s="208"/>
      <c r="L29" s="208"/>
      <c r="M29" s="145"/>
    </row>
    <row r="30" spans="1:16" ht="15.75" hidden="1" thickBot="1"/>
    <row r="31" spans="1:16" ht="21" hidden="1" customHeight="1" thickBot="1">
      <c r="C31" s="73" t="s">
        <v>103</v>
      </c>
      <c r="D31" s="74">
        <f>H25</f>
        <v>9.3246159707856187</v>
      </c>
    </row>
    <row r="32" spans="1:16" ht="19.5" hidden="1" thickBot="1">
      <c r="C32" s="118" t="str">
        <f>IF(H25&lt;2.5,"BAJO",IF(H25&lt;5,"MEDIO",IF(H25&lt;7.5,"ALTO","MUY ALTO")))</f>
        <v>MUY ALTO</v>
      </c>
      <c r="D32" s="119"/>
    </row>
    <row r="33" spans="3:4" hidden="1"/>
    <row r="34" spans="3:4" ht="15.75" hidden="1" thickBot="1"/>
    <row r="35" spans="3:4" ht="15.75" hidden="1">
      <c r="C35" s="20" t="s">
        <v>104</v>
      </c>
      <c r="D35" s="21">
        <f>'CADENA DE VALOR'!F23</f>
        <v>14</v>
      </c>
    </row>
    <row r="36" spans="3:4" ht="16.5" hidden="1" thickBot="1">
      <c r="C36" s="22" t="s">
        <v>105</v>
      </c>
      <c r="D36" s="23">
        <f>(K25/'INFO DE BASE'!P5)*100</f>
        <v>1.9457416055147878</v>
      </c>
    </row>
    <row r="37" spans="3:4" ht="19.5" hidden="1" thickBot="1">
      <c r="C37" s="120" t="str">
        <f>IF(D36&lt;2.5,"BAJO",IF(D36&lt;5,"MEDIO",IF(D36&lt;7.5,"ALTO","MUY ALTO")))</f>
        <v>BAJO</v>
      </c>
      <c r="D37" s="121"/>
    </row>
    <row r="38" spans="3:4" hidden="1">
      <c r="C38"/>
      <c r="D38"/>
    </row>
    <row r="39" spans="3:4" hidden="1">
      <c r="C39"/>
      <c r="D39"/>
    </row>
    <row r="40" spans="3:4" hidden="1">
      <c r="C40" s="2" t="s">
        <v>106</v>
      </c>
      <c r="D40" s="45">
        <f>AVERAGE('CADENA DE VALOR'!D5:D22)</f>
        <v>2670.909090909091</v>
      </c>
    </row>
    <row r="41" spans="3:4" ht="15.75" hidden="1" thickBot="1">
      <c r="C41" t="s">
        <v>107</v>
      </c>
      <c r="D41" s="46">
        <f>STDEV('CADENA DE VALOR'!D5:D22)</f>
        <v>1710.8211744390735</v>
      </c>
    </row>
    <row r="42" spans="3:4" ht="16.5" hidden="1" thickBot="1">
      <c r="C42" s="76" t="s">
        <v>108</v>
      </c>
      <c r="D42" s="75">
        <f>(D40-D41)/D40</f>
        <v>0.35946109874643267</v>
      </c>
    </row>
    <row r="43" spans="3:4" ht="19.5" hidden="1" thickBot="1">
      <c r="C43" s="122" t="str">
        <f>IF(D41&gt;D40,"BAJA",IF((0.7*D40)&gt;D41&lt;D40,"MEDIA",IF((0.5*D40)&gt;D41&lt;(0.7*D40),ALTA,"MUY ALTO")))</f>
        <v>MUY ALTO</v>
      </c>
      <c r="D43" s="123"/>
    </row>
    <row r="44" spans="3:4" hidden="1"/>
  </sheetData>
  <sheetProtection selectLockedCells="1"/>
  <mergeCells count="9">
    <mergeCell ref="A28:P28"/>
    <mergeCell ref="C29:L29"/>
    <mergeCell ref="A1:C1"/>
    <mergeCell ref="O3:P3"/>
    <mergeCell ref="B3:H3"/>
    <mergeCell ref="D1:L1"/>
    <mergeCell ref="I3:L3"/>
    <mergeCell ref="O8:P8"/>
    <mergeCell ref="O9:P24"/>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5"/>
  <sheetViews>
    <sheetView showGridLines="0" zoomScaleNormal="100" workbookViewId="0">
      <selection activeCell="G11" sqref="G11:H17"/>
    </sheetView>
  </sheetViews>
  <sheetFormatPr defaultColWidth="11.42578125" defaultRowHeight="15"/>
  <cols>
    <col min="1" max="1" width="5.140625" customWidth="1"/>
    <col min="2" max="2" width="9.140625" style="6" customWidth="1"/>
    <col min="3" max="3" width="63" style="1" customWidth="1"/>
    <col min="4" max="4" width="20.28515625" style="12" customWidth="1"/>
    <col min="5" max="5" width="3.42578125" style="12" hidden="1" customWidth="1"/>
    <col min="6" max="6" width="12.28515625" style="12" customWidth="1"/>
    <col min="7" max="8" width="24.85546875" style="12" customWidth="1"/>
    <col min="9" max="9" width="4" customWidth="1"/>
    <col min="10" max="10" width="31.85546875" customWidth="1"/>
    <col min="11" max="11" width="15.28515625" customWidth="1"/>
    <col min="13" max="13" width="14.7109375" customWidth="1"/>
    <col min="14" max="14" width="13.5703125" customWidth="1"/>
    <col min="15" max="15" width="12" customWidth="1"/>
  </cols>
  <sheetData>
    <row r="1" spans="1:11" ht="44.25" customHeight="1" thickBot="1">
      <c r="A1" s="237" t="s">
        <v>109</v>
      </c>
      <c r="B1" s="238"/>
      <c r="C1" s="239"/>
      <c r="D1" s="240" t="s">
        <v>110</v>
      </c>
      <c r="E1" s="241"/>
      <c r="F1" s="241"/>
      <c r="G1" s="241"/>
      <c r="H1" s="241"/>
      <c r="I1" s="57"/>
    </row>
    <row r="2" spans="1:11" ht="15.75" thickBot="1"/>
    <row r="3" spans="1:11" s="10" customFormat="1" ht="31.5" customHeight="1">
      <c r="B3" s="244" t="s">
        <v>111</v>
      </c>
      <c r="C3" s="244"/>
      <c r="D3" s="244"/>
      <c r="E3" s="101"/>
      <c r="F3"/>
      <c r="G3" s="242" t="s">
        <v>15</v>
      </c>
      <c r="H3" s="243"/>
      <c r="J3"/>
      <c r="K3"/>
    </row>
    <row r="4" spans="1:11" ht="21.95" customHeight="1">
      <c r="B4" s="105" t="s">
        <v>65</v>
      </c>
      <c r="C4" s="106" t="s">
        <v>112</v>
      </c>
      <c r="D4" s="103" t="s">
        <v>113</v>
      </c>
      <c r="E4" s="107">
        <f>IF(D4="SI",1,IF(D4=" ",0,0))</f>
        <v>1</v>
      </c>
      <c r="F4"/>
      <c r="G4" s="142"/>
      <c r="H4" s="143"/>
    </row>
    <row r="5" spans="1:11" ht="21.95" customHeight="1">
      <c r="B5" s="105" t="s">
        <v>67</v>
      </c>
      <c r="C5" s="106" t="s">
        <v>114</v>
      </c>
      <c r="D5" s="103" t="s">
        <v>113</v>
      </c>
      <c r="E5" s="107">
        <f t="shared" ref="E5:E7" si="0">IF(D5="SI",1,IF(D5=" ",0,0))</f>
        <v>1</v>
      </c>
      <c r="F5"/>
      <c r="G5" s="232" t="s">
        <v>115</v>
      </c>
      <c r="H5" s="233"/>
    </row>
    <row r="6" spans="1:11" ht="21.95" customHeight="1">
      <c r="B6" s="105" t="s">
        <v>69</v>
      </c>
      <c r="C6" s="106" t="s">
        <v>116</v>
      </c>
      <c r="D6" s="103" t="s">
        <v>117</v>
      </c>
      <c r="E6" s="107">
        <f t="shared" si="0"/>
        <v>0</v>
      </c>
      <c r="F6"/>
      <c r="G6" s="232"/>
      <c r="H6" s="233"/>
    </row>
    <row r="7" spans="1:11" ht="21.95" customHeight="1">
      <c r="B7" s="105" t="s">
        <v>70</v>
      </c>
      <c r="C7" s="106" t="s">
        <v>118</v>
      </c>
      <c r="D7" s="103" t="s">
        <v>117</v>
      </c>
      <c r="E7" s="107">
        <f t="shared" si="0"/>
        <v>0</v>
      </c>
      <c r="F7"/>
      <c r="G7" s="232"/>
      <c r="H7" s="233"/>
    </row>
    <row r="8" spans="1:11" ht="23.25" customHeight="1">
      <c r="B8" s="245" t="s">
        <v>119</v>
      </c>
      <c r="C8" s="245"/>
      <c r="D8" s="104" t="str">
        <f>IF(E8=4,"MUY ALTO",IF(E8=3,"ALTO",IF(E8=2,"MEDIO","BAJO")))</f>
        <v>MEDIO</v>
      </c>
      <c r="E8" s="144">
        <f>SUM(E4:E7)</f>
        <v>2</v>
      </c>
      <c r="F8"/>
      <c r="G8" s="232"/>
      <c r="H8" s="233"/>
    </row>
    <row r="9" spans="1:11" ht="23.25" customHeight="1" thickBot="1">
      <c r="B9"/>
      <c r="C9"/>
      <c r="D9"/>
      <c r="E9"/>
      <c r="F9"/>
      <c r="G9" s="234"/>
      <c r="H9" s="235"/>
    </row>
    <row r="10" spans="1:11" ht="37.5" customHeight="1">
      <c r="B10" s="236" t="s">
        <v>120</v>
      </c>
      <c r="C10" s="236"/>
      <c r="D10" s="236"/>
      <c r="E10" s="148"/>
      <c r="F10"/>
      <c r="G10" s="102"/>
      <c r="H10" s="102"/>
    </row>
    <row r="11" spans="1:11" ht="21.95" customHeight="1">
      <c r="B11" s="108" t="s">
        <v>72</v>
      </c>
      <c r="C11" s="109" t="s">
        <v>121</v>
      </c>
      <c r="D11" s="103" t="s">
        <v>113</v>
      </c>
      <c r="E11" s="110">
        <f>IF(D11="SI",1,IF(D11=" ",0,0))</f>
        <v>1</v>
      </c>
      <c r="F11"/>
      <c r="G11" s="230"/>
      <c r="H11" s="230"/>
    </row>
    <row r="12" spans="1:11" ht="21.95" customHeight="1">
      <c r="B12" s="108" t="s">
        <v>75</v>
      </c>
      <c r="C12" s="109" t="s">
        <v>122</v>
      </c>
      <c r="D12" s="103" t="s">
        <v>113</v>
      </c>
      <c r="E12" s="110">
        <f t="shared" ref="E12:E14" si="1">IF(D12="SI",1,IF(D12=" ",0,0))</f>
        <v>1</v>
      </c>
      <c r="F12"/>
      <c r="G12" s="230"/>
      <c r="H12" s="230"/>
    </row>
    <row r="13" spans="1:11" ht="21.95" customHeight="1">
      <c r="B13" s="108" t="s">
        <v>77</v>
      </c>
      <c r="C13" s="109" t="s">
        <v>123</v>
      </c>
      <c r="D13" s="103" t="s">
        <v>113</v>
      </c>
      <c r="E13" s="110">
        <f t="shared" si="1"/>
        <v>1</v>
      </c>
      <c r="F13"/>
      <c r="G13" s="230"/>
      <c r="H13" s="230"/>
    </row>
    <row r="14" spans="1:11" ht="21.95" customHeight="1">
      <c r="B14" s="108" t="s">
        <v>78</v>
      </c>
      <c r="C14" s="109" t="s">
        <v>124</v>
      </c>
      <c r="D14" s="103" t="s">
        <v>113</v>
      </c>
      <c r="E14" s="110">
        <f t="shared" si="1"/>
        <v>1</v>
      </c>
      <c r="F14"/>
      <c r="G14" s="230"/>
      <c r="H14" s="230"/>
    </row>
    <row r="15" spans="1:11" ht="23.25">
      <c r="B15" s="228" t="s">
        <v>119</v>
      </c>
      <c r="C15" s="228"/>
      <c r="D15" s="112" t="str">
        <f>IF(E15=4,"MUY ALTO",IF(E15=3,"ALTO",IF(E15=2,"MEDIO","BAJO")))</f>
        <v>MUY ALTO</v>
      </c>
      <c r="E15" s="111">
        <f>SUM(E11:E14)</f>
        <v>4</v>
      </c>
      <c r="F15"/>
      <c r="G15" s="230"/>
      <c r="H15" s="230"/>
    </row>
    <row r="16" spans="1:11" ht="23.25" customHeight="1">
      <c r="B16"/>
      <c r="C16"/>
      <c r="D16"/>
      <c r="E16"/>
      <c r="F16"/>
      <c r="G16" s="230"/>
      <c r="H16" s="230"/>
    </row>
    <row r="17" spans="2:8" ht="37.5" customHeight="1">
      <c r="B17" s="229" t="s">
        <v>125</v>
      </c>
      <c r="C17" s="229"/>
      <c r="D17" s="229"/>
      <c r="E17" s="147"/>
      <c r="F17"/>
      <c r="G17" s="230"/>
      <c r="H17" s="230"/>
    </row>
    <row r="18" spans="2:8" ht="21.95" customHeight="1">
      <c r="B18" s="114" t="s">
        <v>78</v>
      </c>
      <c r="C18" s="115" t="s">
        <v>126</v>
      </c>
      <c r="D18" s="103" t="s">
        <v>113</v>
      </c>
      <c r="E18" s="117">
        <f>IF(D18="SI",1,IF(D18=" ",0,0))</f>
        <v>1</v>
      </c>
      <c r="F18"/>
      <c r="H18"/>
    </row>
    <row r="19" spans="2:8" ht="21.95" customHeight="1">
      <c r="B19" s="114"/>
      <c r="C19" s="115" t="s">
        <v>127</v>
      </c>
      <c r="D19" s="103" t="s">
        <v>113</v>
      </c>
      <c r="E19" s="117">
        <f>IF(D19="SI",1,IF(D19=" ",0,0))</f>
        <v>1</v>
      </c>
      <c r="F19"/>
      <c r="H19"/>
    </row>
    <row r="20" spans="2:8" ht="21.95" customHeight="1">
      <c r="B20" s="114" t="s">
        <v>80</v>
      </c>
      <c r="C20" s="115" t="s">
        <v>128</v>
      </c>
      <c r="D20" s="103" t="s">
        <v>113</v>
      </c>
      <c r="E20" s="117">
        <f t="shared" ref="E20:E21" si="2">IF(D20="SI",1,IF(D20=" ",0,0))</f>
        <v>1</v>
      </c>
      <c r="F20"/>
      <c r="G20"/>
      <c r="H20"/>
    </row>
    <row r="21" spans="2:8" ht="21.95" customHeight="1">
      <c r="B21" s="114" t="s">
        <v>82</v>
      </c>
      <c r="C21" s="115" t="s">
        <v>129</v>
      </c>
      <c r="D21" s="103" t="s">
        <v>117</v>
      </c>
      <c r="E21" s="117">
        <f t="shared" si="2"/>
        <v>0</v>
      </c>
      <c r="F21"/>
      <c r="G21"/>
      <c r="H21"/>
    </row>
    <row r="22" spans="2:8" ht="23.25">
      <c r="B22" s="231" t="s">
        <v>119</v>
      </c>
      <c r="C22" s="231"/>
      <c r="D22" s="116" t="str">
        <f>IF(E22=4,"MUY ALTO",IF(E22=3,"ALTO",IF(E22=2,"MEDIO","BAJO")))</f>
        <v>ALTO</v>
      </c>
      <c r="E22" s="113">
        <f>SUM(E18:E21)</f>
        <v>3</v>
      </c>
      <c r="F22"/>
      <c r="G22"/>
      <c r="H22"/>
    </row>
    <row r="23" spans="2:8" ht="21.95" customHeight="1">
      <c r="B23"/>
      <c r="C23"/>
      <c r="D23"/>
      <c r="E23"/>
      <c r="F23"/>
    </row>
    <row r="25" spans="2:8" ht="12.75" customHeight="1"/>
  </sheetData>
  <sheetProtection selectLockedCells="1"/>
  <mergeCells count="11">
    <mergeCell ref="A1:C1"/>
    <mergeCell ref="D1:H1"/>
    <mergeCell ref="G3:H3"/>
    <mergeCell ref="B3:D3"/>
    <mergeCell ref="B8:C8"/>
    <mergeCell ref="B15:C15"/>
    <mergeCell ref="B17:D17"/>
    <mergeCell ref="G11:H17"/>
    <mergeCell ref="B22:C22"/>
    <mergeCell ref="G5:H9"/>
    <mergeCell ref="B10:D10"/>
  </mergeCells>
  <dataValidations count="1">
    <dataValidation type="list" showInputMessage="1" showErrorMessage="1" errorTitle="Falta respuesta" error="Por favor, escriba únicamente SI o NO." sqref="D11:D14 D4:D7 D18:D21" xr:uid="{00000000-0002-0000-0300-000000000000}">
      <formula1>"SI,NO"</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7"/>
  <dimension ref="A2:O27"/>
  <sheetViews>
    <sheetView zoomScale="115" zoomScaleNormal="115" workbookViewId="0">
      <selection activeCell="C7" sqref="C7:D7"/>
    </sheetView>
  </sheetViews>
  <sheetFormatPr defaultColWidth="11.42578125" defaultRowHeight="15"/>
  <cols>
    <col min="1" max="1" width="7.7109375" customWidth="1"/>
    <col min="2" max="2" width="21.85546875" style="1" customWidth="1"/>
    <col min="3" max="4" width="36.7109375" style="12" customWidth="1"/>
    <col min="5" max="5" width="0.85546875" customWidth="1"/>
  </cols>
  <sheetData>
    <row r="2" spans="1:15" ht="15.75" thickBot="1"/>
    <row r="3" spans="1:15" ht="20.25">
      <c r="A3" s="260" t="s">
        <v>130</v>
      </c>
      <c r="B3" s="261"/>
      <c r="C3" s="261"/>
      <c r="D3" s="261"/>
      <c r="E3" s="261"/>
      <c r="F3" s="262"/>
      <c r="G3" s="262"/>
      <c r="H3" s="262"/>
      <c r="I3" s="262"/>
      <c r="J3" s="263"/>
      <c r="K3" s="47"/>
    </row>
    <row r="4" spans="1:15" ht="30.75" customHeight="1">
      <c r="A4" s="255" t="s">
        <v>131</v>
      </c>
      <c r="B4" s="256"/>
      <c r="C4" s="264" t="str">
        <f>INTRODUCCIÓN!F10</f>
        <v>CIRCASIA</v>
      </c>
      <c r="D4" s="264"/>
      <c r="E4" s="265"/>
      <c r="F4" s="265"/>
      <c r="G4" s="265"/>
      <c r="H4" s="265"/>
      <c r="I4" s="265"/>
      <c r="J4" s="266"/>
      <c r="K4" s="47"/>
    </row>
    <row r="5" spans="1:15" ht="30.75" customHeight="1" thickBot="1">
      <c r="A5" s="255" t="s">
        <v>132</v>
      </c>
      <c r="B5" s="256"/>
      <c r="C5" s="257" t="str">
        <f>INTRODUCCIÓN!F8</f>
        <v>Artesanía enchapada en hoja caulinar de guadua</v>
      </c>
      <c r="D5" s="257"/>
      <c r="E5" s="257"/>
      <c r="F5" s="257"/>
      <c r="G5" s="257"/>
      <c r="H5" s="257"/>
      <c r="I5" s="257"/>
      <c r="J5" s="258"/>
      <c r="K5" s="47"/>
    </row>
    <row r="6" spans="1:15" s="137" customFormat="1" ht="34.5">
      <c r="A6" s="129"/>
      <c r="B6" s="138" t="s">
        <v>133</v>
      </c>
      <c r="C6" s="267" t="s">
        <v>134</v>
      </c>
      <c r="D6" s="268"/>
      <c r="E6" s="130"/>
      <c r="F6" s="131"/>
      <c r="G6" s="132"/>
      <c r="H6" s="133"/>
      <c r="I6" s="134"/>
      <c r="J6" s="135"/>
      <c r="K6" s="136"/>
      <c r="L6" s="269"/>
      <c r="M6" s="269"/>
      <c r="N6" s="269"/>
    </row>
    <row r="7" spans="1:15" ht="42.75" customHeight="1">
      <c r="A7" s="127"/>
      <c r="B7" s="139" t="s">
        <v>135</v>
      </c>
      <c r="C7" s="247" t="str">
        <f>IF(ISBLANK('INFO DE BASE'!C32),"Falta Información",IF('INFO DE BASE'!C32="MUY ALTO",'LISTAS DESPLEGABLES'!B7,IF('INFO DE BASE'!C32="ALTO",'LISTAS DESPLEGABLES'!B8,IF('INFO DE BASE'!C32="MEDIO",'LISTAS DESPLEGABLES'!B9,'LISTAS DESPLEGABLES'!B10))))</f>
        <v>La comercialización colectiva del producto generá un impacto económico MUY ALTO en el territorio ya que su cadena de valor se relaciona de directamente con la composición sectorial el municipio.</v>
      </c>
      <c r="D7" s="248"/>
      <c r="E7" s="126">
        <f>IF(ISBLANK('INFO DE BASE'!C32)," ",IF('INFO DE BASE'!C32="MUY ALTO",4,IF('INFO DE BASE'!C32="ALTO",3,IF('INFO DE BASE'!C32="MEDIO",2,1))))</f>
        <v>4</v>
      </c>
      <c r="F7" s="48"/>
      <c r="G7" s="49"/>
      <c r="H7" s="50"/>
      <c r="I7" s="253"/>
      <c r="J7" s="254"/>
      <c r="K7" s="47"/>
      <c r="O7" s="246"/>
    </row>
    <row r="8" spans="1:15" ht="42.75" customHeight="1">
      <c r="A8" s="127"/>
      <c r="B8" s="139" t="s">
        <v>136</v>
      </c>
      <c r="C8" s="247" t="str">
        <f>IF(ISBLANK('INFO DE BASE'!C37),"Falta Información",IF('INFO DE BASE'!C37="MUY ALTO",'LISTAS DESPLEGABLES'!B13,IF('INFO DE BASE'!C37="ALTO",'LISTAS DESPLEGABLES'!B14,IF('INFO DE BASE'!C37="MEDIO",'LISTAS DESPLEGABLES'!B15,'LISTAS DESPLEGABLES'!B16))))</f>
        <v>La cadena de valor del producto tiene pocas posibilidad de involucrar nuevas personas del territorio.</v>
      </c>
      <c r="D8" s="248"/>
      <c r="E8" s="126">
        <f>IF(ISBLANK('INFO DE BASE'!C37)," ",IF('INFO DE BASE'!C37="MUY ALTO",4,IF('INFO DE BASE'!C37="ALTO",3,IF('INFO DE BASE'!C37="MEDIO",2,1))))</f>
        <v>1</v>
      </c>
      <c r="F8" s="48"/>
      <c r="G8" s="49"/>
      <c r="H8" s="50"/>
      <c r="I8" s="253"/>
      <c r="J8" s="254"/>
      <c r="K8" s="47"/>
      <c r="O8" s="246"/>
    </row>
    <row r="9" spans="1:15" ht="42.75" customHeight="1">
      <c r="A9" s="127"/>
      <c r="B9" s="139" t="s">
        <v>137</v>
      </c>
      <c r="C9" s="247" t="str">
        <f>IF(ISBLANK('INFO DE BASE'!C43),"Falta Información",IF('INFO DE BASE'!C43="MUY ALTO",'LISTAS DESPLEGABLES'!B19,IF('INFO DE BASE'!C43="ALTO",'LISTAS DESPLEGABLES'!B20,IF('INFO DE BASE'!C43="MEDIO",'LISTAS DESPLEGABLES'!B21,'LISTAS DESPLEGABLES'!B22))))</f>
        <v>La distribución de los beneficios en la cadena de valor del producto es muy equitativa y beneficia a sus involucrados sin generar desigualdad</v>
      </c>
      <c r="D9" s="248"/>
      <c r="E9" s="126">
        <f>IF(ISBLANK('INFO DE BASE'!C43)," ",IF('INFO DE BASE'!C43="MUY ALTO",4,IF('INFO DE BASE'!C43="ALTO",3,IF('INFO DE BASE'!C43="MEDIO",2,1))))</f>
        <v>4</v>
      </c>
      <c r="F9" s="48"/>
      <c r="G9" s="49"/>
      <c r="H9" s="50"/>
      <c r="I9" s="149"/>
      <c r="J9" s="150"/>
      <c r="K9" s="47"/>
      <c r="O9" s="246"/>
    </row>
    <row r="10" spans="1:15" ht="42.75" customHeight="1">
      <c r="A10" s="127"/>
      <c r="B10" s="139" t="s">
        <v>138</v>
      </c>
      <c r="C10" s="247" t="str">
        <f>IF(ISBLANK(INVESTIGACIÓN!D8),"Falta Información",IF(INVESTIGACIÓN!D8="MUY ALTO",'LISTAS DESPLEGABLES'!B25,IF(INVESTIGACIÓN!D8="ALTO",'LISTAS DESPLEGABLES'!B26,IF(INVESTIGACIÓN!D8="MEDIO",'LISTAS DESPLEGABLES'!B27,'LISTAS DESPLEGABLES'!B28))))</f>
        <v>El producto está ligeramente apropiado por la comunidad pero se debe dar a conocer más para conectarlo con la identidad local.</v>
      </c>
      <c r="D10" s="248"/>
      <c r="E10" s="126">
        <f>INVESTIGACIÓN!E8</f>
        <v>2</v>
      </c>
      <c r="F10" s="48"/>
      <c r="G10" s="49"/>
      <c r="H10" s="50"/>
      <c r="I10" s="253"/>
      <c r="J10" s="254"/>
      <c r="K10" s="47"/>
      <c r="O10" s="246"/>
    </row>
    <row r="11" spans="1:15" ht="42.75" customHeight="1">
      <c r="A11" s="127"/>
      <c r="B11" s="139" t="s">
        <v>120</v>
      </c>
      <c r="C11" s="247" t="str">
        <f>IF(ISBLANK(INVESTIGACIÓN!D15),"Falta Información",IF(INVESTIGACIÓN!D15="MUY ALTO",'LISTAS DESPLEGABLES'!B31,IF(INVESTIGACIÓN!D15="ALTO",'LISTAS DESPLEGABLES'!B32,IF(INVESTIGACIÓN!D15="MEDIO",'LISTAS DESPLEGABLES'!B33,'LISTAS DESPLEGABLES'!B34))))</f>
        <v xml:space="preserve">El producto tiene muchas oportunidades para competir en el mercado. </v>
      </c>
      <c r="D11" s="248"/>
      <c r="E11" s="126">
        <f>INVESTIGACIÓN!E15</f>
        <v>4</v>
      </c>
      <c r="F11" s="48"/>
      <c r="G11" s="49"/>
      <c r="H11" s="50"/>
      <c r="I11" s="253"/>
      <c r="J11" s="254"/>
      <c r="K11" s="47"/>
      <c r="O11" s="246"/>
    </row>
    <row r="12" spans="1:15" ht="42.75" customHeight="1" thickBot="1">
      <c r="A12" s="128"/>
      <c r="B12" s="140" t="s">
        <v>139</v>
      </c>
      <c r="C12" s="247" t="str">
        <f>IF(ISBLANK(INVESTIGACIÓN!D22),"Falta Información",IF(INVESTIGACIÓN!D22="MUY ALTO",'LISTAS DESPLEGABLES'!B37,IF(INVESTIGACIÓN!D22="ALTO",'LISTAS DESPLEGABLES'!B38,IF(INVESTIGACIÓN!D22="MEDIO",'LISTAS DESPLEGABLES'!B39,'LISTAS DESPLEGABLES'!B40))))</f>
        <v>El producto tiene oportunidad de crecer en el territorio gracias a la organización de la comunidad y/o a la oferta institucional relacionada con el fortalecimiento del producto.</v>
      </c>
      <c r="D12" s="248"/>
      <c r="E12" s="126">
        <f>INVESTIGACIÓN!E22</f>
        <v>3</v>
      </c>
      <c r="F12" s="51"/>
      <c r="G12" s="52"/>
      <c r="H12" s="53"/>
      <c r="I12" s="54"/>
      <c r="J12" s="55"/>
      <c r="K12" s="47"/>
      <c r="O12" s="246"/>
    </row>
    <row r="13" spans="1:15">
      <c r="A13" s="47"/>
      <c r="B13" s="141"/>
      <c r="C13" s="58"/>
      <c r="D13" s="58"/>
      <c r="E13" s="47"/>
      <c r="F13" s="56"/>
      <c r="G13" s="49"/>
      <c r="H13" s="50"/>
      <c r="I13" s="50"/>
      <c r="J13" s="50"/>
      <c r="K13" s="47"/>
    </row>
    <row r="14" spans="1:15" ht="25.5" customHeight="1">
      <c r="A14" s="250" t="s">
        <v>140</v>
      </c>
      <c r="B14" s="251"/>
      <c r="C14" s="251"/>
      <c r="D14" s="251"/>
      <c r="E14" s="251"/>
      <c r="F14" s="251"/>
      <c r="G14" s="251"/>
      <c r="H14" s="251"/>
      <c r="I14" s="251"/>
      <c r="J14" s="252"/>
      <c r="K14" s="47"/>
      <c r="L14" s="259"/>
      <c r="M14" s="259"/>
      <c r="N14" s="259"/>
    </row>
    <row r="15" spans="1:15">
      <c r="A15" s="249"/>
      <c r="B15" s="249"/>
      <c r="C15" s="249"/>
      <c r="D15" s="249"/>
      <c r="E15" s="249"/>
      <c r="F15" s="249"/>
      <c r="G15" s="249"/>
      <c r="H15" s="249"/>
      <c r="I15" s="249"/>
      <c r="J15" s="249"/>
    </row>
    <row r="16" spans="1:15">
      <c r="A16" s="249"/>
      <c r="B16" s="249"/>
      <c r="C16" s="249"/>
      <c r="D16" s="249"/>
      <c r="E16" s="249"/>
      <c r="F16" s="249"/>
      <c r="G16" s="249"/>
      <c r="H16" s="249"/>
      <c r="I16" s="249"/>
      <c r="J16" s="249"/>
    </row>
    <row r="17" spans="1:10">
      <c r="A17" s="249"/>
      <c r="B17" s="249"/>
      <c r="C17" s="249"/>
      <c r="D17" s="249"/>
      <c r="E17" s="249"/>
      <c r="F17" s="249"/>
      <c r="G17" s="249"/>
      <c r="H17" s="249"/>
      <c r="I17" s="249"/>
      <c r="J17" s="249"/>
    </row>
    <row r="18" spans="1:10">
      <c r="A18" s="249"/>
      <c r="B18" s="249"/>
      <c r="C18" s="249"/>
      <c r="D18" s="249"/>
      <c r="E18" s="249"/>
      <c r="F18" s="249"/>
      <c r="G18" s="249"/>
      <c r="H18" s="249"/>
      <c r="I18" s="249"/>
      <c r="J18" s="249"/>
    </row>
    <row r="19" spans="1:10">
      <c r="A19" s="249"/>
      <c r="B19" s="249"/>
      <c r="C19" s="249"/>
      <c r="D19" s="249"/>
      <c r="E19" s="249"/>
      <c r="F19" s="249"/>
      <c r="G19" s="249"/>
      <c r="H19" s="249"/>
      <c r="I19" s="249"/>
      <c r="J19" s="249"/>
    </row>
    <row r="20" spans="1:10">
      <c r="A20" s="249"/>
      <c r="B20" s="249"/>
      <c r="C20" s="249"/>
      <c r="D20" s="249"/>
      <c r="E20" s="249"/>
      <c r="F20" s="249"/>
      <c r="G20" s="249"/>
      <c r="H20" s="249"/>
      <c r="I20" s="249"/>
      <c r="J20" s="249"/>
    </row>
    <row r="21" spans="1:10">
      <c r="A21" s="249"/>
      <c r="B21" s="249"/>
      <c r="C21" s="249"/>
      <c r="D21" s="249"/>
      <c r="E21" s="249"/>
      <c r="F21" s="249"/>
      <c r="G21" s="249"/>
      <c r="H21" s="249"/>
      <c r="I21" s="249"/>
      <c r="J21" s="249"/>
    </row>
    <row r="22" spans="1:10">
      <c r="A22" s="249"/>
      <c r="B22" s="249"/>
      <c r="C22" s="249"/>
      <c r="D22" s="249"/>
      <c r="E22" s="249"/>
      <c r="F22" s="249"/>
      <c r="G22" s="249"/>
      <c r="H22" s="249"/>
      <c r="I22" s="249"/>
      <c r="J22" s="249"/>
    </row>
    <row r="23" spans="1:10">
      <c r="A23" s="249"/>
      <c r="B23" s="249"/>
      <c r="C23" s="249"/>
      <c r="D23" s="249"/>
      <c r="E23" s="249"/>
      <c r="F23" s="249"/>
      <c r="G23" s="249"/>
      <c r="H23" s="249"/>
      <c r="I23" s="249"/>
      <c r="J23" s="249"/>
    </row>
    <row r="24" spans="1:10">
      <c r="A24" s="249"/>
      <c r="B24" s="249"/>
      <c r="C24" s="249"/>
      <c r="D24" s="249"/>
      <c r="E24" s="249"/>
      <c r="F24" s="249"/>
      <c r="G24" s="249"/>
      <c r="H24" s="249"/>
      <c r="I24" s="249"/>
      <c r="J24" s="249"/>
    </row>
    <row r="25" spans="1:10">
      <c r="A25" s="249"/>
      <c r="B25" s="249"/>
      <c r="C25" s="249"/>
      <c r="D25" s="249"/>
      <c r="E25" s="249"/>
      <c r="F25" s="249"/>
      <c r="G25" s="249"/>
      <c r="H25" s="249"/>
      <c r="I25" s="249"/>
      <c r="J25" s="249"/>
    </row>
    <row r="26" spans="1:10">
      <c r="A26" s="249"/>
      <c r="B26" s="249"/>
      <c r="C26" s="249"/>
      <c r="D26" s="249"/>
      <c r="E26" s="249"/>
      <c r="F26" s="249"/>
      <c r="G26" s="249"/>
      <c r="H26" s="249"/>
      <c r="I26" s="249"/>
      <c r="J26" s="249"/>
    </row>
    <row r="27" spans="1:10">
      <c r="A27" s="249"/>
      <c r="B27" s="249"/>
      <c r="C27" s="249"/>
      <c r="D27" s="249"/>
      <c r="E27" s="249"/>
      <c r="F27" s="249"/>
      <c r="G27" s="249"/>
      <c r="H27" s="249"/>
      <c r="I27" s="249"/>
      <c r="J27" s="249"/>
    </row>
  </sheetData>
  <mergeCells count="23">
    <mergeCell ref="A5:B5"/>
    <mergeCell ref="C5:J5"/>
    <mergeCell ref="L14:N14"/>
    <mergeCell ref="A3:J3"/>
    <mergeCell ref="I7:J7"/>
    <mergeCell ref="A4:B4"/>
    <mergeCell ref="C4:J4"/>
    <mergeCell ref="C6:D6"/>
    <mergeCell ref="C7:D7"/>
    <mergeCell ref="L6:N6"/>
    <mergeCell ref="O7:O8"/>
    <mergeCell ref="O9:O10"/>
    <mergeCell ref="O11:O12"/>
    <mergeCell ref="C11:D11"/>
    <mergeCell ref="A15:J27"/>
    <mergeCell ref="A14:J14"/>
    <mergeCell ref="I11:J11"/>
    <mergeCell ref="I8:J8"/>
    <mergeCell ref="I10:J10"/>
    <mergeCell ref="C8:D8"/>
    <mergeCell ref="C9:D9"/>
    <mergeCell ref="C10:D10"/>
    <mergeCell ref="C12:D12"/>
  </mergeCells>
  <dataValidations count="1">
    <dataValidation allowBlank="1" sqref="C10:C12" xr:uid="{00000000-0002-0000-0400-000000000000}"/>
  </dataValidation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40"/>
  <sheetViews>
    <sheetView topLeftCell="A19" workbookViewId="0">
      <selection activeCell="B25" sqref="B25"/>
    </sheetView>
  </sheetViews>
  <sheetFormatPr defaultColWidth="11.42578125" defaultRowHeight="15"/>
  <cols>
    <col min="2" max="2" width="86.7109375" customWidth="1"/>
  </cols>
  <sheetData>
    <row r="1" spans="1:2">
      <c r="A1" t="s">
        <v>113</v>
      </c>
    </row>
    <row r="2" spans="1:2">
      <c r="A2" t="s">
        <v>117</v>
      </c>
    </row>
    <row r="5" spans="1:2">
      <c r="A5" s="125" t="s">
        <v>141</v>
      </c>
    </row>
    <row r="6" spans="1:2">
      <c r="A6" s="270" t="s">
        <v>142</v>
      </c>
      <c r="B6" s="270"/>
    </row>
    <row r="7" spans="1:2">
      <c r="A7" s="124" t="s">
        <v>143</v>
      </c>
      <c r="B7" t="s">
        <v>144</v>
      </c>
    </row>
    <row r="8" spans="1:2">
      <c r="A8" s="124" t="s">
        <v>145</v>
      </c>
      <c r="B8" t="s">
        <v>146</v>
      </c>
    </row>
    <row r="9" spans="1:2">
      <c r="A9" s="124" t="s">
        <v>147</v>
      </c>
      <c r="B9" t="s">
        <v>148</v>
      </c>
    </row>
    <row r="10" spans="1:2">
      <c r="A10" s="124" t="s">
        <v>149</v>
      </c>
      <c r="B10" t="s">
        <v>150</v>
      </c>
    </row>
    <row r="12" spans="1:2">
      <c r="A12" s="270" t="s">
        <v>151</v>
      </c>
      <c r="B12" s="270"/>
    </row>
    <row r="13" spans="1:2">
      <c r="A13" s="124" t="s">
        <v>143</v>
      </c>
      <c r="B13" t="s">
        <v>152</v>
      </c>
    </row>
    <row r="14" spans="1:2">
      <c r="A14" s="124" t="s">
        <v>145</v>
      </c>
      <c r="B14" t="s">
        <v>153</v>
      </c>
    </row>
    <row r="15" spans="1:2">
      <c r="A15" s="124" t="s">
        <v>147</v>
      </c>
      <c r="B15" t="s">
        <v>154</v>
      </c>
    </row>
    <row r="16" spans="1:2">
      <c r="A16" s="124" t="s">
        <v>149</v>
      </c>
      <c r="B16" t="s">
        <v>155</v>
      </c>
    </row>
    <row r="18" spans="1:2">
      <c r="A18" s="270" t="s">
        <v>108</v>
      </c>
      <c r="B18" s="270"/>
    </row>
    <row r="19" spans="1:2">
      <c r="A19" s="124" t="s">
        <v>143</v>
      </c>
      <c r="B19" t="s">
        <v>156</v>
      </c>
    </row>
    <row r="20" spans="1:2">
      <c r="A20" s="124" t="s">
        <v>145</v>
      </c>
      <c r="B20" t="s">
        <v>157</v>
      </c>
    </row>
    <row r="21" spans="1:2">
      <c r="A21" s="124" t="s">
        <v>147</v>
      </c>
      <c r="B21" t="s">
        <v>158</v>
      </c>
    </row>
    <row r="22" spans="1:2">
      <c r="A22" s="124" t="s">
        <v>149</v>
      </c>
      <c r="B22" t="s">
        <v>159</v>
      </c>
    </row>
    <row r="24" spans="1:2">
      <c r="A24" s="270" t="s">
        <v>160</v>
      </c>
      <c r="B24" s="270"/>
    </row>
    <row r="25" spans="1:2">
      <c r="A25" s="124" t="s">
        <v>143</v>
      </c>
      <c r="B25" t="s">
        <v>161</v>
      </c>
    </row>
    <row r="26" spans="1:2">
      <c r="A26" s="124" t="s">
        <v>145</v>
      </c>
      <c r="B26" t="s">
        <v>162</v>
      </c>
    </row>
    <row r="27" spans="1:2">
      <c r="A27" s="124" t="s">
        <v>147</v>
      </c>
      <c r="B27" t="s">
        <v>163</v>
      </c>
    </row>
    <row r="28" spans="1:2">
      <c r="A28" s="124" t="s">
        <v>149</v>
      </c>
      <c r="B28" t="s">
        <v>164</v>
      </c>
    </row>
    <row r="30" spans="1:2">
      <c r="A30" s="270" t="s">
        <v>165</v>
      </c>
      <c r="B30" s="270"/>
    </row>
    <row r="31" spans="1:2">
      <c r="A31" s="124" t="s">
        <v>143</v>
      </c>
      <c r="B31" t="s">
        <v>166</v>
      </c>
    </row>
    <row r="32" spans="1:2">
      <c r="A32" s="124" t="s">
        <v>145</v>
      </c>
      <c r="B32" t="s">
        <v>167</v>
      </c>
    </row>
    <row r="33" spans="1:2">
      <c r="A33" s="124" t="s">
        <v>147</v>
      </c>
      <c r="B33" t="s">
        <v>168</v>
      </c>
    </row>
    <row r="34" spans="1:2">
      <c r="A34" s="124" t="s">
        <v>149</v>
      </c>
      <c r="B34" t="s">
        <v>169</v>
      </c>
    </row>
    <row r="36" spans="1:2">
      <c r="A36" s="270" t="s">
        <v>170</v>
      </c>
      <c r="B36" s="270"/>
    </row>
    <row r="37" spans="1:2">
      <c r="A37" s="124" t="s">
        <v>143</v>
      </c>
      <c r="B37" t="s">
        <v>171</v>
      </c>
    </row>
    <row r="38" spans="1:2">
      <c r="A38" s="124" t="s">
        <v>145</v>
      </c>
      <c r="B38" t="s">
        <v>172</v>
      </c>
    </row>
    <row r="39" spans="1:2">
      <c r="A39" s="124" t="s">
        <v>147</v>
      </c>
      <c r="B39" t="s">
        <v>173</v>
      </c>
    </row>
    <row r="40" spans="1:2">
      <c r="A40" s="124" t="s">
        <v>149</v>
      </c>
      <c r="B40" t="s">
        <v>174</v>
      </c>
    </row>
  </sheetData>
  <mergeCells count="6">
    <mergeCell ref="A36:B36"/>
    <mergeCell ref="A6:B6"/>
    <mergeCell ref="A12:B12"/>
    <mergeCell ref="A18:B18"/>
    <mergeCell ref="A24:B24"/>
    <mergeCell ref="A30:B3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1"/>
  <dimension ref="A1:G36"/>
  <sheetViews>
    <sheetView zoomScale="115" zoomScaleNormal="115" workbookViewId="0">
      <selection activeCell="E25" sqref="E25"/>
    </sheetView>
  </sheetViews>
  <sheetFormatPr defaultColWidth="11.42578125" defaultRowHeight="15"/>
  <cols>
    <col min="1" max="1" width="83" customWidth="1"/>
    <col min="2" max="2" width="14.42578125" customWidth="1"/>
    <col min="3" max="3" width="21.140625" customWidth="1"/>
    <col min="4" max="4" width="6.42578125" bestFit="1" customWidth="1"/>
    <col min="5" max="5" width="118.28515625" bestFit="1" customWidth="1"/>
    <col min="6" max="6" width="20.7109375" bestFit="1" customWidth="1"/>
    <col min="7" max="7" width="19.7109375" bestFit="1" customWidth="1"/>
    <col min="8" max="8" width="20.42578125" bestFit="1" customWidth="1"/>
    <col min="9" max="10" width="7.5703125" bestFit="1" customWidth="1"/>
    <col min="11" max="11" width="11" bestFit="1" customWidth="1"/>
    <col min="12" max="12" width="20.7109375" bestFit="1" customWidth="1"/>
    <col min="13" max="18" width="5.5703125" bestFit="1" customWidth="1"/>
    <col min="19" max="20" width="6.7109375" bestFit="1" customWidth="1"/>
    <col min="21" max="21" width="11" bestFit="1" customWidth="1"/>
    <col min="22" max="22" width="19.140625" bestFit="1" customWidth="1"/>
    <col min="23" max="23" width="25.7109375" bestFit="1" customWidth="1"/>
  </cols>
  <sheetData>
    <row r="1" spans="1:7">
      <c r="E1" s="18" t="s">
        <v>54</v>
      </c>
      <c r="F1" s="2" t="s">
        <v>175</v>
      </c>
    </row>
    <row r="2" spans="1:7" ht="18.75">
      <c r="A2" s="272" t="s">
        <v>176</v>
      </c>
      <c r="B2" s="272"/>
      <c r="E2" s="271" t="s">
        <v>177</v>
      </c>
      <c r="F2" s="271"/>
      <c r="G2" s="271"/>
    </row>
    <row r="3" spans="1:7" ht="21.75" customHeight="1">
      <c r="A3" s="18" t="s">
        <v>178</v>
      </c>
      <c r="B3" s="12" t="s">
        <v>179</v>
      </c>
      <c r="E3" s="18" t="s">
        <v>178</v>
      </c>
      <c r="F3" s="2" t="s">
        <v>180</v>
      </c>
      <c r="G3" s="2" t="s">
        <v>181</v>
      </c>
    </row>
    <row r="4" spans="1:7">
      <c r="A4" s="8" t="s">
        <v>41</v>
      </c>
      <c r="B4" s="274">
        <v>0.10142954390742001</v>
      </c>
      <c r="E4" s="19" t="s">
        <v>97</v>
      </c>
      <c r="F4" s="88">
        <v>3.8632294735408022E-3</v>
      </c>
      <c r="G4" s="88">
        <v>1.7711171662125342E-2</v>
      </c>
    </row>
    <row r="5" spans="1:7">
      <c r="A5" s="8" t="s">
        <v>20</v>
      </c>
      <c r="B5" s="274">
        <v>0.20422055820285909</v>
      </c>
      <c r="E5" s="19" t="s">
        <v>95</v>
      </c>
      <c r="F5" s="88">
        <v>5.8867428961037612E-4</v>
      </c>
      <c r="G5" s="88">
        <v>2.7247956403269754E-3</v>
      </c>
    </row>
    <row r="6" spans="1:7">
      <c r="A6" s="8" t="s">
        <v>25</v>
      </c>
      <c r="B6" s="274">
        <v>0.17018379850238258</v>
      </c>
      <c r="E6" s="19" t="s">
        <v>41</v>
      </c>
      <c r="F6" s="88">
        <v>9.2812040647107452E-4</v>
      </c>
      <c r="G6" s="88">
        <v>1.226158038147139E-2</v>
      </c>
    </row>
    <row r="7" spans="1:7">
      <c r="A7" s="8" t="s">
        <v>30</v>
      </c>
      <c r="B7" s="274">
        <v>0.21783526208304968</v>
      </c>
      <c r="E7" s="19" t="s">
        <v>85</v>
      </c>
      <c r="F7" s="88">
        <v>1.1335725146308078E-3</v>
      </c>
      <c r="G7" s="88">
        <v>8.1743869209809257E-3</v>
      </c>
    </row>
    <row r="8" spans="1:7">
      <c r="A8" s="8" t="s">
        <v>34</v>
      </c>
      <c r="B8" s="274">
        <v>0.30633083730428862</v>
      </c>
      <c r="E8" s="19" t="s">
        <v>87</v>
      </c>
      <c r="F8" s="88">
        <v>2.4966017061159871E-3</v>
      </c>
      <c r="G8" s="88">
        <v>9.5367847411444145E-3</v>
      </c>
    </row>
    <row r="9" spans="1:7">
      <c r="A9" s="8" t="s">
        <v>182</v>
      </c>
      <c r="B9" s="9">
        <v>1</v>
      </c>
      <c r="E9" s="19" t="s">
        <v>20</v>
      </c>
      <c r="F9" s="88">
        <v>2.0164797633120166E-2</v>
      </c>
      <c r="G9" s="88">
        <v>1.6348773841961851E-2</v>
      </c>
    </row>
    <row r="10" spans="1:7">
      <c r="E10" s="19" t="s">
        <v>25</v>
      </c>
      <c r="F10" s="88">
        <v>3.9638420708932604E-3</v>
      </c>
      <c r="G10" s="88">
        <v>1.3623978201634877E-2</v>
      </c>
    </row>
    <row r="11" spans="1:7">
      <c r="E11" s="19" t="s">
        <v>81</v>
      </c>
      <c r="F11" s="88">
        <v>0.33986464605021727</v>
      </c>
      <c r="G11" s="88">
        <v>0.1989100817438692</v>
      </c>
    </row>
    <row r="12" spans="1:7">
      <c r="E12" s="19" t="s">
        <v>30</v>
      </c>
      <c r="F12" s="88">
        <v>0.32074272804309251</v>
      </c>
      <c r="G12" s="88">
        <v>0.51362397820163486</v>
      </c>
    </row>
    <row r="13" spans="1:7">
      <c r="E13" s="19" t="s">
        <v>76</v>
      </c>
      <c r="F13" s="88">
        <v>0.17926834291461419</v>
      </c>
      <c r="G13" s="88">
        <v>3.4059945504087197E-2</v>
      </c>
    </row>
    <row r="14" spans="1:7">
      <c r="E14" s="19" t="s">
        <v>73</v>
      </c>
      <c r="F14" s="88">
        <v>3.933964904701259E-4</v>
      </c>
      <c r="G14" s="88">
        <v>4.0871934604904629E-3</v>
      </c>
    </row>
    <row r="15" spans="1:7">
      <c r="E15" s="19" t="s">
        <v>93</v>
      </c>
      <c r="F15" s="88">
        <v>1.2656187360969199E-4</v>
      </c>
      <c r="G15" s="88">
        <v>2.7247956403269754E-3</v>
      </c>
    </row>
    <row r="16" spans="1:7">
      <c r="E16" s="19" t="s">
        <v>34</v>
      </c>
      <c r="F16" s="88">
        <v>6.0360546419616863E-2</v>
      </c>
      <c r="G16" s="88">
        <v>7.0844686648501368E-2</v>
      </c>
    </row>
    <row r="17" spans="1:7">
      <c r="E17" s="19" t="s">
        <v>83</v>
      </c>
      <c r="F17" s="88">
        <v>1.1574819087964915E-2</v>
      </c>
      <c r="G17" s="88">
        <v>1.3623978201634877E-2</v>
      </c>
    </row>
    <row r="18" spans="1:7">
      <c r="E18" s="19" t="s">
        <v>99</v>
      </c>
      <c r="F18" s="88">
        <v>5.2182641733429696E-3</v>
      </c>
      <c r="G18" s="88">
        <v>5.858310626702997E-2</v>
      </c>
    </row>
    <row r="19" spans="1:7">
      <c r="E19" s="19" t="s">
        <v>71</v>
      </c>
      <c r="F19" s="88">
        <v>1.6199919822040573E-3</v>
      </c>
      <c r="G19" s="88">
        <v>1.3623978201634877E-3</v>
      </c>
    </row>
    <row r="20" spans="1:7">
      <c r="E20" s="19" t="s">
        <v>79</v>
      </c>
      <c r="F20" s="88">
        <v>4.7691864870484921E-2</v>
      </c>
      <c r="G20" s="88">
        <v>2.1798365122615803E-2</v>
      </c>
    </row>
    <row r="21" spans="1:7">
      <c r="E21" s="19" t="s">
        <v>182</v>
      </c>
      <c r="F21" s="2">
        <v>1</v>
      </c>
      <c r="G21" s="2">
        <v>1</v>
      </c>
    </row>
    <row r="28" spans="1:7" ht="18.75">
      <c r="A28" s="271" t="s">
        <v>183</v>
      </c>
      <c r="B28" s="271"/>
      <c r="C28" s="271"/>
    </row>
    <row r="29" spans="1:7">
      <c r="A29" s="7" t="s">
        <v>178</v>
      </c>
      <c r="B29" t="s">
        <v>179</v>
      </c>
      <c r="C29" t="s">
        <v>184</v>
      </c>
    </row>
    <row r="30" spans="1:7">
      <c r="A30" s="8" t="s">
        <v>21</v>
      </c>
      <c r="B30" s="273">
        <v>14000</v>
      </c>
      <c r="C30" s="273">
        <v>7</v>
      </c>
    </row>
    <row r="31" spans="1:7">
      <c r="A31" s="8" t="s">
        <v>26</v>
      </c>
      <c r="B31" s="273">
        <v>5000</v>
      </c>
      <c r="C31" s="273">
        <v>2</v>
      </c>
    </row>
    <row r="32" spans="1:7">
      <c r="A32" s="8" t="s">
        <v>31</v>
      </c>
      <c r="B32" s="273">
        <v>4000</v>
      </c>
      <c r="C32" s="273">
        <v>1</v>
      </c>
    </row>
    <row r="33" spans="1:3">
      <c r="A33" s="8" t="s">
        <v>37</v>
      </c>
      <c r="B33" s="273">
        <v>6380</v>
      </c>
      <c r="C33" s="273">
        <v>4</v>
      </c>
    </row>
    <row r="34" spans="1:3">
      <c r="A34" s="8" t="s">
        <v>182</v>
      </c>
      <c r="B34" s="273">
        <v>29380</v>
      </c>
      <c r="C34" s="273">
        <v>14</v>
      </c>
    </row>
    <row r="36" spans="1:3">
      <c r="C36">
        <f>GETPIVOTDATA("Suma de Costo",$A$29)/GETPIVOTDATA("Suma de Beneficiarios",$A$29)</f>
        <v>2098.5714285714284</v>
      </c>
    </row>
  </sheetData>
  <mergeCells count="3">
    <mergeCell ref="A28:C28"/>
    <mergeCell ref="A2:B2"/>
    <mergeCell ref="E2:G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FD531872C7CE554584EF00C37E403D8B" ma:contentTypeVersion="12" ma:contentTypeDescription="Crear nuevo documento." ma:contentTypeScope="" ma:versionID="64d59db2c65f584ab64846880a6453ab">
  <xsd:schema xmlns:xsd="http://www.w3.org/2001/XMLSchema" xmlns:xs="http://www.w3.org/2001/XMLSchema" xmlns:p="http://schemas.microsoft.com/office/2006/metadata/properties" xmlns:ns2="2b6b437a-5846-4934-ac66-7de06297595b" xmlns:ns3="2c0ff4f8-6664-4eb8-8bb0-965f2536cb1b" targetNamespace="http://schemas.microsoft.com/office/2006/metadata/properties" ma:root="true" ma:fieldsID="6db0ecfdee2c25a275df86ee96baed0f" ns2:_="" ns3:_="">
    <xsd:import namespace="2b6b437a-5846-4934-ac66-7de06297595b"/>
    <xsd:import namespace="2c0ff4f8-6664-4eb8-8bb0-965f2536cb1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6b437a-5846-4934-ac66-7de06297595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d33c8c81-5745-4931-bcc4-c2aeafe8678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c0ff4f8-6664-4eb8-8bb0-965f2536cb1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1b51f16-9315-4d91-a842-b6a7513aaa38}" ma:internalName="TaxCatchAll" ma:showField="CatchAllData" ma:web="2c0ff4f8-6664-4eb8-8bb0-965f2536cb1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c0ff4f8-6664-4eb8-8bb0-965f2536cb1b" xsi:nil="true"/>
    <lcf76f155ced4ddcb4097134ff3c332f xmlns="2b6b437a-5846-4934-ac66-7de06297595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EC05569-BEBE-4A43-9026-911C3E97176D}"/>
</file>

<file path=customXml/itemProps2.xml><?xml version="1.0" encoding="utf-8"?>
<ds:datastoreItem xmlns:ds="http://schemas.openxmlformats.org/officeDocument/2006/customXml" ds:itemID="{5B7AD05F-8B6E-42D7-9EC0-BF6FEB521009}"/>
</file>

<file path=customXml/itemProps3.xml><?xml version="1.0" encoding="utf-8"?>
<ds:datastoreItem xmlns:ds="http://schemas.openxmlformats.org/officeDocument/2006/customXml" ds:itemID="{E2B8951F-1D0D-4529-AA46-493023B67EA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Dianita Rodríguez</dc:creator>
  <cp:keywords/>
  <dc:description/>
  <cp:lastModifiedBy>Jose Yobani Penagos Mora</cp:lastModifiedBy>
  <cp:revision/>
  <dcterms:created xsi:type="dcterms:W3CDTF">2019-08-10T07:17:44Z</dcterms:created>
  <dcterms:modified xsi:type="dcterms:W3CDTF">2025-11-11T03:51:13Z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2024-08-23T20:25:56Z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6cd488f6-a343-420d-a157-e6392a3a0070</vt:lpwstr>
  </property>
  <property fmtid="{D5CDD505-2E9C-101B-9397-08002B2CF9AE}" pid="8" name="MSIP_Label_fc111285-cafa-4fc9-8a9a-bd902089b24f_ContentBits">
    <vt:lpwstr>0</vt:lpwstr>
  </property>
  <property fmtid="{D5CDD505-2E9C-101B-9397-08002B2CF9AE}" pid="9" name="ContentTypeId">
    <vt:lpwstr>0x010100FD531872C7CE554584EF00C37E403D8B</vt:lpwstr>
  </property>
  <property fmtid="{D5CDD505-2E9C-101B-9397-08002B2CF9AE}" pid="10" name="MediaServiceImageTags">
    <vt:lpwstr/>
  </property>
</Properties>
</file>